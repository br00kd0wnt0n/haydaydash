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SHEET" sheetId="1" r:id="rId5"/>
    <sheet state="visible" name="CREATIVE &amp; STRATEGY" sheetId="2" r:id="rId6"/>
    <sheet state="visible" name="CREATIVE PRODUCTION" sheetId="3" r:id="rId7"/>
    <sheet state="visible" name="MEDIA PLANNING" sheetId="4" r:id="rId8"/>
    <sheet state="visible" name="MEDIA BUYING" sheetId="5" r:id="rId9"/>
    <sheet state="visible" name="RESEARCH &amp; REPORTING" sheetId="6" r:id="rId10"/>
  </sheets>
  <definedNames/>
  <calcPr/>
</workbook>
</file>

<file path=xl/sharedStrings.xml><?xml version="1.0" encoding="utf-8"?>
<sst xmlns="http://schemas.openxmlformats.org/spreadsheetml/2006/main" count="318" uniqueCount="145">
  <si>
    <t>JAKKS Pacific LOGO</t>
  </si>
  <si>
    <t>Ralph LOGO</t>
  </si>
  <si>
    <t xml:space="preserve">Disney Darlings EU3 Launch Campaign Budget Estimate 2026 </t>
  </si>
  <si>
    <t>Phases</t>
  </si>
  <si>
    <t xml:space="preserve">Budget Tiers 700 /. 1 / 1.5 </t>
  </si>
  <si>
    <t>Function</t>
  </si>
  <si>
    <t>Details</t>
  </si>
  <si>
    <t>Pre-Launch Planning &amp; Production</t>
  </si>
  <si>
    <t>Wave 1: Smyths Launch</t>
  </si>
  <si>
    <t>Wave 2: Holiday 2026</t>
  </si>
  <si>
    <t xml:space="preserve">TOTAL COST USD$ (BRONZE) </t>
  </si>
  <si>
    <t xml:space="preserve">TOTAL COST USD$ (SILVER) </t>
  </si>
  <si>
    <t xml:space="preserve">TOTAL COST USD$ (GOLD) </t>
  </si>
  <si>
    <t>Feb - Apr</t>
  </si>
  <si>
    <t>May - Aug</t>
  </si>
  <si>
    <t>Sept - Dec</t>
  </si>
  <si>
    <t>CREATIVE &amp; STRATEGY</t>
  </si>
  <si>
    <t>Creative and strategic direction, concept, scripting, strategy planning</t>
  </si>
  <si>
    <t>CREATIVE PRODUCTION</t>
  </si>
  <si>
    <t xml:space="preserve">Video production (shoot inc location, crew, talent), post-production (design, GFX, editing, finishing) supply/trafficking of video and static assets for advertisng, organic and POS </t>
  </si>
  <si>
    <t>MEDIA PLANNING &amp; BUYING</t>
  </si>
  <si>
    <t>Communication channel / media planning and buying across TV/CTV, YouTube, Social, POS and OOH. Creator discovery, partnerships, contracts and management</t>
  </si>
  <si>
    <t>RESEARCH &amp; REPORTING</t>
  </si>
  <si>
    <t>Research, brand tracking and insight direction, campaign management and reactive planning</t>
  </si>
  <si>
    <t>COST USD$</t>
  </si>
  <si>
    <t>EST IMPRESSIONS</t>
  </si>
  <si>
    <t>NOTES</t>
  </si>
  <si>
    <t>INTERNAL NOTES</t>
  </si>
  <si>
    <t xml:space="preserve">Fee for Ralph </t>
  </si>
  <si>
    <t>Per month</t>
  </si>
  <si>
    <t>Media costs</t>
  </si>
  <si>
    <t>Could reduce in line with total cost to meet tiered budgets</t>
  </si>
  <si>
    <t>Creative Prod</t>
  </si>
  <si>
    <t xml:space="preserve">Placeholder for shoot </t>
  </si>
  <si>
    <t>Doesnt change dependent on tier / media spend</t>
  </si>
  <si>
    <t>Should at least inc costs for telly for trafficking</t>
  </si>
  <si>
    <t>RALPH RATECARD</t>
  </si>
  <si>
    <t>USD $</t>
  </si>
  <si>
    <t>PRE-LAUNCH - FEB-APR</t>
  </si>
  <si>
    <t>SMYTHS - MAY-AUG</t>
  </si>
  <si>
    <t>HOLIDAYS - SEPT-DEC</t>
  </si>
  <si>
    <t>per hour</t>
  </si>
  <si>
    <t>No of Hours</t>
  </si>
  <si>
    <t>Total</t>
  </si>
  <si>
    <t>Planning / Concepting</t>
  </si>
  <si>
    <t>Executive Creative Director</t>
  </si>
  <si>
    <t>Creative Director</t>
  </si>
  <si>
    <t>Head of Creative</t>
  </si>
  <si>
    <t xml:space="preserve">Creative  </t>
  </si>
  <si>
    <t>Planner</t>
  </si>
  <si>
    <t>Data Insights / Analytics</t>
  </si>
  <si>
    <t>Art Direction / Design</t>
  </si>
  <si>
    <t>Art Director</t>
  </si>
  <si>
    <t>Senior Designer</t>
  </si>
  <si>
    <t>Designer</t>
  </si>
  <si>
    <t>Junior Designer</t>
  </si>
  <si>
    <t>Development</t>
  </si>
  <si>
    <t>Frontend Developer</t>
  </si>
  <si>
    <t>Backend/Database Developer</t>
  </si>
  <si>
    <t>Tester</t>
  </si>
  <si>
    <t>Video Production</t>
  </si>
  <si>
    <t>Director</t>
  </si>
  <si>
    <t>Sr Video Producer</t>
  </si>
  <si>
    <t>Senior Video Editor</t>
  </si>
  <si>
    <t>Video Editor</t>
  </si>
  <si>
    <t>Motion Graphics / Animation</t>
  </si>
  <si>
    <t>3d Modelling and Animation</t>
  </si>
  <si>
    <t>Sound Editing</t>
  </si>
  <si>
    <t>Sound Engineer</t>
  </si>
  <si>
    <t>Sound Assistant</t>
  </si>
  <si>
    <t>Social</t>
  </si>
  <si>
    <t>Head of Social</t>
  </si>
  <si>
    <t>Social Lead</t>
  </si>
  <si>
    <t>Senior Social Strategist</t>
  </si>
  <si>
    <t>Social Strategist</t>
  </si>
  <si>
    <t>Social Coordinator/Strategy Exec</t>
  </si>
  <si>
    <t>Client Services</t>
  </si>
  <si>
    <t>Managing Director</t>
  </si>
  <si>
    <t>Account Director</t>
  </si>
  <si>
    <t>Head of Production</t>
  </si>
  <si>
    <t>Producer</t>
  </si>
  <si>
    <t>Junior Producer</t>
  </si>
  <si>
    <t>Talent Coordinator</t>
  </si>
  <si>
    <t>Third Party Expenses / Costs</t>
  </si>
  <si>
    <t>NA</t>
  </si>
  <si>
    <t>TOTAL</t>
  </si>
  <si>
    <t>Ralph Fee</t>
  </si>
  <si>
    <t>1 day shoot inc 8 x talent and ralph shoot team</t>
  </si>
  <si>
    <t xml:space="preserve">Ralph Fee </t>
  </si>
  <si>
    <t>Shoot Notes</t>
  </si>
  <si>
    <t>BSF and 1 year buyout</t>
  </si>
  <si>
    <t>Number</t>
  </si>
  <si>
    <t>Total £</t>
  </si>
  <si>
    <t>$</t>
  </si>
  <si>
    <t>Child Talent</t>
  </si>
  <si>
    <t>Adult Talent</t>
  </si>
  <si>
    <t>Location</t>
  </si>
  <si>
    <t>Art Dept</t>
  </si>
  <si>
    <t>Crew</t>
  </si>
  <si>
    <t>Kit</t>
  </si>
  <si>
    <t>Ralph team</t>
  </si>
  <si>
    <t>Expenses</t>
  </si>
  <si>
    <t>Seven Stars BRONZE</t>
  </si>
  <si>
    <t>Seven Stars SILVER</t>
  </si>
  <si>
    <t>Seven Stars GOLD</t>
  </si>
  <si>
    <t>TOTAL BRONZE</t>
  </si>
  <si>
    <t>TOTAL SILVER</t>
  </si>
  <si>
    <t>TOTAL GOLD</t>
  </si>
  <si>
    <t>MEDIA CHANNEL</t>
  </si>
  <si>
    <t>Targeting</t>
  </si>
  <si>
    <t>Spend Split  (BRONZE) %</t>
  </si>
  <si>
    <t>CPM £ Broad</t>
  </si>
  <si>
    <t>CPM £ Targeted</t>
  </si>
  <si>
    <t>CPM $ Broad</t>
  </si>
  <si>
    <t>CPM $ Targeted</t>
  </si>
  <si>
    <t>SPEND (BRONZE)</t>
  </si>
  <si>
    <t>IMPRESSIONS BROAD</t>
  </si>
  <si>
    <t>IMPRESSIONS TGTED</t>
  </si>
  <si>
    <t>BUDGET TOTAL</t>
  </si>
  <si>
    <t>SPLIT</t>
  </si>
  <si>
    <t>SPEND (SILVER)</t>
  </si>
  <si>
    <t>IMP BROAD</t>
  </si>
  <si>
    <t>IMP TGTD</t>
  </si>
  <si>
    <t>SPEND (GOLD)</t>
  </si>
  <si>
    <t>TV</t>
  </si>
  <si>
    <t>CTV</t>
  </si>
  <si>
    <t>YOUTUBE</t>
  </si>
  <si>
    <t>META</t>
  </si>
  <si>
    <t>TIKTOK</t>
  </si>
  <si>
    <t>OOH/DOOH</t>
  </si>
  <si>
    <t>CREATORS</t>
  </si>
  <si>
    <t>RETAIL DSP (AMZN)</t>
  </si>
  <si>
    <t>AVE CPM BROAD</t>
  </si>
  <si>
    <t>AVE CPM TGTED</t>
  </si>
  <si>
    <t>AVE TGTED</t>
  </si>
  <si>
    <t>TOTAL / AVE</t>
  </si>
  <si>
    <t>SMYTHS</t>
  </si>
  <si>
    <t>HOLIDAY</t>
  </si>
  <si>
    <t>NOTES &amp; ROUGH CHANNEL SPLITS FOR PRESENTATION</t>
  </si>
  <si>
    <t>3 family qual sesh per country</t>
  </si>
  <si>
    <t>Hard Costs</t>
  </si>
  <si>
    <t>Audience Panel Survey</t>
  </si>
  <si>
    <t>Brand Tracker</t>
  </si>
  <si>
    <t>Pete day rate</t>
  </si>
  <si>
    <t xml:space="preserve">Nicki day rate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</si>
</sst>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$]#,##0.00"/>
    <numFmt numFmtId="165" formatCode="[$$]#,##0"/>
    <numFmt numFmtId="166" formatCode="[$£-809]#,##0"/>
    <numFmt numFmtId="167" formatCode="0.0%"/>
    <numFmt numFmtId="168" formatCode="[$£-809]#,##0.0"/>
  </numFmts>
  <fonts count="15">
    <font>
      <sz val="10.0"/>
      <color rgb="FF000000"/>
      <name val="Arial"/>
      <scheme val="minor"/>
    </font>
    <font>
      <b/>
      <color theme="1"/>
      <name val="Poppins"/>
    </font>
    <font/>
    <font>
      <color theme="1"/>
      <name val="Arial"/>
      <scheme val="minor"/>
    </font>
    <font>
      <color theme="1"/>
      <name val="Poppins"/>
    </font>
    <font>
      <i/>
      <color theme="1"/>
      <name val="Poppins"/>
    </font>
    <font>
      <b/>
      <sz val="12.0"/>
      <color theme="1"/>
      <name val="Poppins"/>
    </font>
    <font>
      <i/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color theme="1"/>
      <name val="Helvetica Neue"/>
    </font>
    <font>
      <color theme="1"/>
      <name val="Arial"/>
    </font>
    <font>
      <color theme="1"/>
      <name val="Helvetica Neue"/>
    </font>
    <font>
      <b/>
      <color rgb="FFFFFFFF"/>
      <name val="Arial"/>
      <scheme val="minor"/>
    </font>
    <font>
      <color rgb="FFFFFF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shrinkToFit="0" wrapText="1"/>
    </xf>
    <xf borderId="5" fillId="0" fontId="2" numFmtId="0" xfId="0" applyBorder="1" applyFont="1"/>
    <xf borderId="2" fillId="0" fontId="4" numFmtId="0" xfId="0" applyAlignment="1" applyBorder="1" applyFont="1">
      <alignment horizontal="center" readingOrder="0" shrinkToFit="0" vertical="center" wrapText="1"/>
    </xf>
    <xf borderId="2" fillId="0" fontId="4" numFmtId="164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readingOrder="0" shrinkToFit="0" vertical="center" wrapText="1"/>
    </xf>
    <xf borderId="1" fillId="0" fontId="4" numFmtId="164" xfId="0" applyAlignment="1" applyBorder="1" applyFont="1" applyNumberForma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6" fillId="0" fontId="5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wrapText="1"/>
    </xf>
    <xf borderId="6" fillId="0" fontId="4" numFmtId="0" xfId="0" applyAlignment="1" applyBorder="1" applyFont="1">
      <alignment readingOrder="0" shrinkToFit="0" wrapText="1"/>
    </xf>
    <xf borderId="6" fillId="0" fontId="4" numFmtId="165" xfId="0" applyAlignment="1" applyBorder="1" applyFont="1" applyNumberFormat="1">
      <alignment shrinkToFit="0" wrapText="1"/>
    </xf>
    <xf borderId="6" fillId="0" fontId="4" numFmtId="165" xfId="0" applyBorder="1" applyFont="1" applyNumberFormat="1"/>
    <xf borderId="2" fillId="0" fontId="1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6" fillId="0" fontId="6" numFmtId="165" xfId="0" applyAlignment="1" applyBorder="1" applyFont="1" applyNumberFormat="1">
      <alignment shrinkToFit="0" wrapText="1"/>
    </xf>
    <xf borderId="6" fillId="0" fontId="6" numFmtId="3" xfId="0" applyAlignment="1" applyBorder="1" applyFont="1" applyNumberFormat="1">
      <alignment shrinkToFit="0" wrapText="1"/>
    </xf>
    <xf borderId="2" fillId="0" fontId="4" numFmtId="0" xfId="0" applyAlignment="1" applyBorder="1" applyFont="1">
      <alignment shrinkToFit="0" wrapText="1"/>
    </xf>
    <xf borderId="0" fillId="0" fontId="3" numFmtId="164" xfId="0" applyAlignment="1" applyFont="1" applyNumberFormat="1">
      <alignment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8" numFmtId="164" xfId="0" applyAlignment="1" applyFont="1" applyNumberForma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9" numFmtId="0" xfId="0" applyAlignment="1" applyFont="1">
      <alignment vertical="bottom"/>
    </xf>
    <xf borderId="0" fillId="0" fontId="10" numFmtId="165" xfId="0" applyAlignment="1" applyFont="1" applyNumberFormat="1">
      <alignment horizontal="center" vertical="bottom"/>
    </xf>
    <xf borderId="0" fillId="0" fontId="9" numFmtId="4" xfId="0" applyAlignment="1" applyFont="1" applyNumberFormat="1">
      <alignment horizontal="center" readingOrder="0" vertical="bottom"/>
    </xf>
    <xf borderId="7" fillId="0" fontId="2" numFmtId="0" xfId="0" applyBorder="1" applyFont="1"/>
    <xf borderId="0" fillId="0" fontId="11" numFmtId="0" xfId="0" applyAlignment="1" applyFont="1">
      <alignment vertical="bottom"/>
    </xf>
    <xf borderId="0" fillId="0" fontId="10" numFmtId="4" xfId="0" applyAlignment="1" applyFont="1" applyNumberFormat="1">
      <alignment vertical="bottom"/>
    </xf>
    <xf borderId="7" fillId="0" fontId="10" numFmtId="165" xfId="0" applyAlignment="1" applyBorder="1" applyFont="1" applyNumberFormat="1">
      <alignment vertical="bottom"/>
    </xf>
    <xf borderId="0" fillId="0" fontId="10" numFmtId="0" xfId="0" applyAlignment="1" applyFont="1">
      <alignment vertical="bottom"/>
    </xf>
    <xf borderId="0" fillId="0" fontId="11" numFmtId="165" xfId="0" applyAlignment="1" applyFont="1" applyNumberFormat="1">
      <alignment vertical="bottom"/>
    </xf>
    <xf borderId="0" fillId="0" fontId="11" numFmtId="4" xfId="0" applyAlignment="1" applyFont="1" applyNumberFormat="1">
      <alignment vertical="bottom"/>
    </xf>
    <xf borderId="7" fillId="0" fontId="11" numFmtId="165" xfId="0" applyAlignment="1" applyBorder="1" applyFont="1" applyNumberFormat="1">
      <alignment vertical="bottom"/>
    </xf>
    <xf borderId="0" fillId="0" fontId="12" numFmtId="165" xfId="0" applyAlignment="1" applyFont="1" applyNumberFormat="1">
      <alignment horizontal="right" vertical="bottom"/>
    </xf>
    <xf borderId="7" fillId="0" fontId="12" numFmtId="165" xfId="0" applyAlignment="1" applyBorder="1" applyFont="1" applyNumberFormat="1">
      <alignment horizontal="right" vertical="bottom"/>
    </xf>
    <xf borderId="0" fillId="0" fontId="11" numFmtId="4" xfId="0" applyAlignment="1" applyFont="1" applyNumberFormat="1">
      <alignment readingOrder="0" vertical="bottom"/>
    </xf>
    <xf borderId="0" fillId="0" fontId="11" numFmtId="4" xfId="0" applyAlignment="1" applyFont="1" applyNumberFormat="1">
      <alignment horizontal="right" readingOrder="0" vertical="bottom"/>
    </xf>
    <xf borderId="0" fillId="0" fontId="11" numFmtId="4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7" fillId="0" fontId="11" numFmtId="0" xfId="0" applyAlignment="1" applyBorder="1" applyFont="1">
      <alignment vertical="bottom"/>
    </xf>
    <xf borderId="0" fillId="0" fontId="10" numFmtId="4" xfId="0" applyAlignment="1" applyFont="1" applyNumberFormat="1">
      <alignment horizontal="right" vertical="bottom"/>
    </xf>
    <xf borderId="7" fillId="0" fontId="10" numFmtId="165" xfId="0" applyAlignment="1" applyBorder="1" applyFont="1" applyNumberFormat="1">
      <alignment horizontal="right" vertical="bottom"/>
    </xf>
    <xf borderId="0" fillId="2" fontId="13" numFmtId="0" xfId="0" applyAlignment="1" applyFill="1" applyFont="1">
      <alignment readingOrder="0"/>
    </xf>
    <xf borderId="0" fillId="2" fontId="13" numFmtId="165" xfId="0" applyFont="1" applyNumberFormat="1"/>
    <xf borderId="0" fillId="0" fontId="11" numFmtId="0" xfId="0" applyAlignment="1" applyFont="1">
      <alignment readingOrder="0" vertical="bottom"/>
    </xf>
    <xf borderId="7" fillId="0" fontId="11" numFmtId="165" xfId="0" applyAlignment="1" applyBorder="1" applyFont="1" applyNumberFormat="1">
      <alignment readingOrder="0" vertical="bottom"/>
    </xf>
    <xf borderId="0" fillId="0" fontId="3" numFmtId="0" xfId="0" applyAlignment="1" applyFont="1">
      <alignment readingOrder="0"/>
    </xf>
    <xf borderId="0" fillId="0" fontId="3" numFmtId="166" xfId="0" applyFont="1" applyNumberFormat="1"/>
    <xf borderId="0" fillId="0" fontId="3" numFmtId="165" xfId="0" applyFont="1" applyNumberFormat="1"/>
    <xf borderId="0" fillId="0" fontId="3" numFmtId="166" xfId="0" applyAlignment="1" applyFont="1" applyNumberFormat="1">
      <alignment readingOrder="0"/>
    </xf>
    <xf borderId="0" fillId="0" fontId="9" numFmtId="0" xfId="0" applyAlignment="1" applyFont="1">
      <alignment shrinkToFit="0" vertical="bottom" wrapText="1"/>
    </xf>
    <xf borderId="0" fillId="0" fontId="10" numFmtId="165" xfId="0" applyAlignment="1" applyFont="1" applyNumberFormat="1">
      <alignment horizontal="center" shrinkToFit="0" vertical="bottom" wrapText="1"/>
    </xf>
    <xf borderId="0" fillId="0" fontId="9" numFmtId="4" xfId="0" applyAlignment="1" applyFont="1" applyNumberFormat="1">
      <alignment horizontal="center" readingOrder="0" shrinkToFit="0" vertical="bottom" wrapText="1"/>
    </xf>
    <xf borderId="0" fillId="0" fontId="11" numFmtId="0" xfId="0" applyAlignment="1" applyFont="1">
      <alignment shrinkToFit="0" vertical="bottom" wrapText="1"/>
    </xf>
    <xf borderId="0" fillId="0" fontId="10" numFmtId="4" xfId="0" applyAlignment="1" applyFont="1" applyNumberFormat="1">
      <alignment shrinkToFit="0" vertical="bottom" wrapText="1"/>
    </xf>
    <xf borderId="7" fillId="0" fontId="10" numFmtId="165" xfId="0" applyAlignment="1" applyBorder="1" applyFont="1" applyNumberForma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0" fontId="11" numFmtId="165" xfId="0" applyAlignment="1" applyFont="1" applyNumberFormat="1">
      <alignment shrinkToFit="0" vertical="bottom" wrapText="1"/>
    </xf>
    <xf borderId="0" fillId="0" fontId="11" numFmtId="4" xfId="0" applyAlignment="1" applyFont="1" applyNumberFormat="1">
      <alignment shrinkToFit="0" vertical="bottom" wrapText="1"/>
    </xf>
    <xf borderId="7" fillId="0" fontId="11" numFmtId="165" xfId="0" applyAlignment="1" applyBorder="1" applyFont="1" applyNumberFormat="1">
      <alignment shrinkToFit="0" vertical="bottom" wrapText="1"/>
    </xf>
    <xf borderId="0" fillId="0" fontId="12" numFmtId="165" xfId="0" applyAlignment="1" applyFont="1" applyNumberFormat="1">
      <alignment horizontal="right" shrinkToFit="0" vertical="bottom" wrapText="1"/>
    </xf>
    <xf borderId="7" fillId="0" fontId="12" numFmtId="165" xfId="0" applyAlignment="1" applyBorder="1" applyFont="1" applyNumberFormat="1">
      <alignment horizontal="right" shrinkToFit="0" vertical="bottom" wrapText="1"/>
    </xf>
    <xf borderId="0" fillId="0" fontId="11" numFmtId="4" xfId="0" applyAlignment="1" applyFont="1" applyNumberFormat="1">
      <alignment horizontal="right" shrinkToFit="0" vertical="bottom" wrapText="1"/>
    </xf>
    <xf borderId="0" fillId="0" fontId="11" numFmtId="4" xfId="0" applyAlignment="1" applyFont="1" applyNumberFormat="1">
      <alignment readingOrder="0" shrinkToFit="0" vertical="bottom" wrapText="1"/>
    </xf>
    <xf borderId="0" fillId="0" fontId="11" numFmtId="4" xfId="0" applyAlignment="1" applyFont="1" applyNumberFormat="1">
      <alignment horizontal="right" readingOrder="0" shrinkToFit="0" vertical="bottom" wrapText="1"/>
    </xf>
    <xf borderId="0" fillId="0" fontId="12" numFmtId="0" xfId="0" applyAlignment="1" applyFont="1">
      <alignment shrinkToFit="0" vertical="bottom" wrapText="1"/>
    </xf>
    <xf borderId="0" fillId="0" fontId="11" numFmtId="0" xfId="0" applyAlignment="1" applyFont="1">
      <alignment readingOrder="0" shrinkToFit="0" vertical="bottom" wrapText="1"/>
    </xf>
    <xf borderId="0" fillId="0" fontId="11" numFmtId="167" xfId="0" applyAlignment="1" applyFont="1" applyNumberFormat="1">
      <alignment readingOrder="0" shrinkToFit="0" vertical="bottom" wrapText="1"/>
    </xf>
    <xf borderId="7" fillId="0" fontId="11" numFmtId="165" xfId="0" applyAlignment="1" applyBorder="1" applyFont="1" applyNumberFormat="1">
      <alignment readingOrder="0" shrinkToFit="0" vertical="bottom" wrapText="1"/>
    </xf>
    <xf borderId="7" fillId="0" fontId="12" numFmtId="165" xfId="0" applyAlignment="1" applyBorder="1" applyFont="1" applyNumberFormat="1">
      <alignment horizontal="right" readingOrder="0" shrinkToFit="0" vertical="bottom" wrapText="1"/>
    </xf>
    <xf borderId="0" fillId="0" fontId="11" numFmtId="10" xfId="0" applyAlignment="1" applyFont="1" applyNumberFormat="1">
      <alignment readingOrder="0" shrinkToFit="0" vertical="bottom" wrapText="1"/>
    </xf>
    <xf borderId="7" fillId="0" fontId="11" numFmtId="0" xfId="0" applyAlignment="1" applyBorder="1" applyFont="1">
      <alignment shrinkToFit="0" vertical="bottom" wrapText="1"/>
    </xf>
    <xf borderId="0" fillId="2" fontId="13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vertical="bottom" wrapText="1"/>
    </xf>
    <xf borderId="0" fillId="0" fontId="10" numFmtId="4" xfId="0" applyAlignment="1" applyFont="1" applyNumberFormat="1">
      <alignment horizontal="right" shrinkToFit="0" vertical="bottom" wrapText="1"/>
    </xf>
    <xf borderId="7" fillId="0" fontId="10" numFmtId="165" xfId="0" applyAlignment="1" applyBorder="1" applyFont="1" applyNumberFormat="1">
      <alignment horizontal="right" shrinkToFit="0" vertical="bottom" wrapText="1"/>
    </xf>
    <xf borderId="0" fillId="0" fontId="3" numFmtId="165" xfId="0" applyAlignment="1" applyFont="1" applyNumberFormat="1">
      <alignment shrinkToFit="0" wrapText="1"/>
    </xf>
    <xf borderId="0" fillId="3" fontId="3" numFmtId="0" xfId="0" applyAlignment="1" applyFill="1" applyFont="1">
      <alignment readingOrder="0" shrinkToFit="0" wrapText="1"/>
    </xf>
    <xf borderId="0" fillId="3" fontId="3" numFmtId="0" xfId="0" applyAlignment="1" applyFont="1">
      <alignment shrinkToFit="0" wrapText="1"/>
    </xf>
    <xf borderId="0" fillId="3" fontId="3" numFmtId="165" xfId="0" applyAlignment="1" applyFont="1" applyNumberFormat="1">
      <alignment shrinkToFit="0" wrapText="1"/>
    </xf>
    <xf borderId="7" fillId="3" fontId="10" numFmtId="165" xfId="0" applyAlignment="1" applyBorder="1" applyFont="1" applyNumberFormat="1">
      <alignment horizontal="right" shrinkToFit="0" vertical="bottom" wrapText="1"/>
    </xf>
    <xf borderId="0" fillId="4" fontId="3" numFmtId="0" xfId="0" applyAlignment="1" applyFill="1" applyFont="1">
      <alignment readingOrder="0" shrinkToFit="0" wrapText="1"/>
    </xf>
    <xf borderId="0" fillId="4" fontId="3" numFmtId="0" xfId="0" applyAlignment="1" applyFont="1">
      <alignment shrinkToFit="0" wrapText="1"/>
    </xf>
    <xf borderId="0" fillId="4" fontId="3" numFmtId="165" xfId="0" applyAlignment="1" applyFont="1" applyNumberFormat="1">
      <alignment shrinkToFit="0" wrapText="1"/>
    </xf>
    <xf borderId="0" fillId="0" fontId="3" numFmtId="168" xfId="0" applyAlignment="1" applyFont="1" applyNumberFormat="1">
      <alignment readingOrder="0" shrinkToFit="0" wrapText="1"/>
    </xf>
    <xf borderId="0" fillId="5" fontId="3" numFmtId="0" xfId="0" applyAlignment="1" applyFill="1" applyFont="1">
      <alignment readingOrder="0" shrinkToFit="0" wrapText="1"/>
    </xf>
    <xf borderId="0" fillId="5" fontId="3" numFmtId="3" xfId="0" applyAlignment="1" applyFont="1" applyNumberFormat="1">
      <alignment readingOrder="0" shrinkToFit="0" wrapText="1"/>
    </xf>
    <xf borderId="0" fillId="6" fontId="3" numFmtId="4" xfId="0" applyAlignment="1" applyFill="1" applyFont="1" applyNumberFormat="1">
      <alignment readingOrder="0"/>
    </xf>
    <xf borderId="0" fillId="6" fontId="3" numFmtId="0" xfId="0" applyAlignment="1" applyFont="1">
      <alignment readingOrder="0"/>
    </xf>
    <xf borderId="0" fillId="6" fontId="3" numFmtId="164" xfId="0" applyAlignment="1" applyFont="1" applyNumberFormat="1">
      <alignment readingOrder="0" shrinkToFit="0" wrapText="1"/>
    </xf>
    <xf borderId="0" fillId="4" fontId="3" numFmtId="164" xfId="0" applyAlignment="1" applyFont="1" applyNumberFormat="1">
      <alignment readingOrder="0" shrinkToFit="0" wrapText="1"/>
    </xf>
    <xf borderId="0" fillId="0" fontId="3" numFmtId="168" xfId="0" applyAlignment="1" applyFont="1" applyNumberFormat="1">
      <alignment shrinkToFit="0" wrapText="1"/>
    </xf>
    <xf borderId="0" fillId="5" fontId="3" numFmtId="164" xfId="0" applyAlignment="1" applyFont="1" applyNumberFormat="1">
      <alignment shrinkToFit="0" wrapText="1"/>
    </xf>
    <xf borderId="0" fillId="5" fontId="3" numFmtId="3" xfId="0" applyAlignment="1" applyFont="1" applyNumberFormat="1">
      <alignment shrinkToFit="0" wrapText="1"/>
    </xf>
    <xf borderId="0" fillId="5" fontId="8" numFmtId="164" xfId="0" applyAlignment="1" applyFont="1" applyNumberFormat="1">
      <alignment readingOrder="0" shrinkToFit="0" wrapText="1"/>
    </xf>
    <xf borderId="0" fillId="5" fontId="3" numFmtId="0" xfId="0" applyAlignment="1" applyFont="1">
      <alignment shrinkToFit="0" wrapText="1"/>
    </xf>
    <xf borderId="0" fillId="6" fontId="3" numFmtId="4" xfId="0" applyAlignment="1" applyFont="1" applyNumberFormat="1">
      <alignment shrinkToFit="0" wrapText="1"/>
    </xf>
    <xf borderId="0" fillId="6" fontId="3" numFmtId="164" xfId="0" applyAlignment="1" applyFont="1" applyNumberFormat="1">
      <alignment shrinkToFit="0" wrapText="1"/>
    </xf>
    <xf borderId="0" fillId="6" fontId="3" numFmtId="3" xfId="0" applyAlignment="1" applyFont="1" applyNumberFormat="1">
      <alignment shrinkToFit="0" wrapText="1"/>
    </xf>
    <xf borderId="0" fillId="6" fontId="3" numFmtId="0" xfId="0" applyAlignment="1" applyFont="1">
      <alignment shrinkToFit="0" wrapText="1"/>
    </xf>
    <xf borderId="0" fillId="0" fontId="3" numFmtId="3" xfId="0" applyAlignment="1" applyFont="1" applyNumberFormat="1">
      <alignment shrinkToFit="0" wrapText="1"/>
    </xf>
    <xf borderId="0" fillId="5" fontId="7" numFmtId="0" xfId="0" applyAlignment="1" applyFont="1">
      <alignment readingOrder="0" shrinkToFit="0" wrapText="1"/>
    </xf>
    <xf borderId="0" fillId="6" fontId="3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0" fontId="8" numFmtId="168" xfId="0" applyAlignment="1" applyFont="1" applyNumberFormat="1">
      <alignment shrinkToFit="0" wrapText="1"/>
    </xf>
    <xf borderId="0" fillId="5" fontId="8" numFmtId="164" xfId="0" applyAlignment="1" applyFont="1" applyNumberFormat="1">
      <alignment shrinkToFit="0" wrapText="1"/>
    </xf>
    <xf borderId="0" fillId="5" fontId="8" numFmtId="3" xfId="0" applyAlignment="1" applyFont="1" applyNumberFormat="1">
      <alignment shrinkToFit="0" wrapText="1"/>
    </xf>
    <xf borderId="0" fillId="5" fontId="8" numFmtId="164" xfId="0" applyAlignment="1" applyFont="1" applyNumberFormat="1">
      <alignment shrinkToFit="0" vertical="center" wrapText="1"/>
    </xf>
    <xf borderId="0" fillId="6" fontId="8" numFmtId="164" xfId="0" applyAlignment="1" applyFont="1" applyNumberFormat="1">
      <alignment shrinkToFit="0" wrapText="1"/>
    </xf>
    <xf borderId="0" fillId="6" fontId="8" numFmtId="164" xfId="0" applyAlignment="1" applyFont="1" applyNumberFormat="1">
      <alignment shrinkToFit="0" vertical="center" wrapText="1"/>
    </xf>
    <xf borderId="0" fillId="2" fontId="14" numFmtId="0" xfId="0" applyAlignment="1" applyFont="1">
      <alignment readingOrder="0" shrinkToFit="0" wrapText="1"/>
    </xf>
    <xf borderId="0" fillId="2" fontId="14" numFmtId="0" xfId="0" applyAlignment="1" applyFont="1">
      <alignment shrinkToFit="0" wrapText="1"/>
    </xf>
    <xf borderId="0" fillId="2" fontId="14" numFmtId="168" xfId="0" applyAlignment="1" applyFont="1" applyNumberFormat="1">
      <alignment shrinkToFit="0" wrapText="1"/>
    </xf>
    <xf borderId="0" fillId="2" fontId="14" numFmtId="164" xfId="0" applyAlignment="1" applyFont="1" applyNumberFormat="1">
      <alignment shrinkToFit="0" wrapText="1"/>
    </xf>
    <xf borderId="0" fillId="5" fontId="3" numFmtId="4" xfId="0" applyAlignment="1" applyFont="1" applyNumberFormat="1">
      <alignment shrinkToFit="0" wrapText="1"/>
    </xf>
    <xf borderId="0" fillId="6" fontId="3" numFmtId="4" xfId="0" applyAlignment="1" applyFont="1" applyNumberFormat="1">
      <alignment readingOrder="0" shrinkToFit="0" wrapText="1"/>
    </xf>
    <xf borderId="0" fillId="6" fontId="8" numFmtId="0" xfId="0" applyAlignment="1" applyFont="1">
      <alignment shrinkToFit="0" vertical="center" wrapText="1"/>
    </xf>
    <xf borderId="0" fillId="7" fontId="14" numFmtId="0" xfId="0" applyAlignment="1" applyFill="1" applyFont="1">
      <alignment readingOrder="0" shrinkToFit="0" wrapText="1"/>
    </xf>
    <xf borderId="0" fillId="7" fontId="14" numFmtId="0" xfId="0" applyAlignment="1" applyFont="1">
      <alignment shrinkToFit="0" wrapText="1"/>
    </xf>
    <xf borderId="0" fillId="7" fontId="14" numFmtId="168" xfId="0" applyAlignment="1" applyFont="1" applyNumberFormat="1">
      <alignment shrinkToFit="0" wrapText="1"/>
    </xf>
    <xf borderId="0" fillId="0" fontId="11" numFmtId="165" xfId="0" applyAlignment="1" applyFont="1" applyNumberFormat="1">
      <alignment readingOrder="0" vertical="bottom"/>
    </xf>
    <xf borderId="7" fillId="0" fontId="12" numFmtId="165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39.5"/>
    <col customWidth="1" min="6" max="6" width="20.88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/>
      <c r="B2" s="6"/>
      <c r="C2" s="7" t="s">
        <v>3</v>
      </c>
      <c r="D2" s="3"/>
      <c r="E2" s="4"/>
      <c r="F2" s="8" t="s">
        <v>4</v>
      </c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9" t="s">
        <v>5</v>
      </c>
      <c r="B3" s="9" t="s">
        <v>6</v>
      </c>
      <c r="C3" s="10" t="s">
        <v>7</v>
      </c>
      <c r="D3" s="10" t="s">
        <v>8</v>
      </c>
      <c r="E3" s="10" t="s">
        <v>9</v>
      </c>
      <c r="F3" s="11" t="s">
        <v>10</v>
      </c>
      <c r="G3" s="12" t="s">
        <v>11</v>
      </c>
      <c r="H3" s="12" t="s">
        <v>12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/>
      <c r="B4" s="6"/>
      <c r="C4" s="13" t="s">
        <v>13</v>
      </c>
      <c r="D4" s="13" t="s">
        <v>14</v>
      </c>
      <c r="E4" s="13" t="s">
        <v>15</v>
      </c>
      <c r="F4" s="6"/>
      <c r="G4" s="6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14" t="s">
        <v>16</v>
      </c>
      <c r="B5" s="15" t="s">
        <v>17</v>
      </c>
      <c r="C5" s="16">
        <f>'CREATIVE &amp; STRATEGY'!D53</f>
        <v>30800</v>
      </c>
      <c r="D5" s="16">
        <f>'CREATIVE &amp; STRATEGY'!F53</f>
        <v>20560</v>
      </c>
      <c r="E5" s="16">
        <f>'CREATIVE &amp; STRATEGY'!H53</f>
        <v>20560</v>
      </c>
      <c r="F5" s="16">
        <f t="shared" ref="F5:F8" si="1">SUM(C5:E5)</f>
        <v>71920</v>
      </c>
      <c r="G5" s="16">
        <f t="shared" ref="G5:G6" si="2">F5</f>
        <v>71920</v>
      </c>
      <c r="H5" s="16">
        <f t="shared" ref="H5:H6" si="3">F5</f>
        <v>71920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14" t="s">
        <v>18</v>
      </c>
      <c r="B6" s="15" t="s">
        <v>19</v>
      </c>
      <c r="C6" s="17">
        <f>'CREATIVE PRODUCTION'!D53</f>
        <v>228016</v>
      </c>
      <c r="D6" s="16">
        <f>'CREATIVE PRODUCTION'!F53</f>
        <v>26560</v>
      </c>
      <c r="E6" s="16">
        <f>'CREATIVE PRODUCTION'!H53</f>
        <v>26560</v>
      </c>
      <c r="F6" s="16">
        <f t="shared" si="1"/>
        <v>281136</v>
      </c>
      <c r="G6" s="16">
        <f t="shared" si="2"/>
        <v>281136</v>
      </c>
      <c r="H6" s="16">
        <f t="shared" si="3"/>
        <v>281136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14" t="s">
        <v>20</v>
      </c>
      <c r="B7" s="15" t="s">
        <v>21</v>
      </c>
      <c r="C7" s="16">
        <f>'MEDIA PLANNING'!D54</f>
        <v>16920</v>
      </c>
      <c r="D7" s="16">
        <f>'MEDIA PLANNING'!F54+'MEDIA BUYING'!H12</f>
        <v>104640</v>
      </c>
      <c r="E7" s="16">
        <f>'MEDIA PLANNING'!H54+'MEDIA BUYING'!H13</f>
        <v>258760</v>
      </c>
      <c r="F7" s="16">
        <f t="shared" si="1"/>
        <v>380320</v>
      </c>
      <c r="G7" s="16">
        <f>'MEDIA PLANNING'!D55+'MEDIA PLANNING'!F55+'MEDIA PLANNING'!H55+'MEDIA BUYING'!Q2</f>
        <v>597820</v>
      </c>
      <c r="H7" s="16">
        <f>'MEDIA PLANNING'!D56+'MEDIA PLANNING'!F56+'MEDIA PLANNING'!H56+'MEDIA BUYING'!W2</f>
        <v>1135320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14" t="s">
        <v>22</v>
      </c>
      <c r="B8" s="15" t="s">
        <v>23</v>
      </c>
      <c r="C8" s="16">
        <f>'RESEARCH &amp; REPORTING'!D56</f>
        <v>61620</v>
      </c>
      <c r="D8" s="16">
        <f>'RESEARCH &amp; REPORTING'!F56</f>
        <v>23920</v>
      </c>
      <c r="E8" s="16">
        <f>'RESEARCH &amp; REPORTING'!H56</f>
        <v>23920</v>
      </c>
      <c r="F8" s="16">
        <f t="shared" si="1"/>
        <v>109460</v>
      </c>
      <c r="G8" s="16">
        <f>F8</f>
        <v>109460</v>
      </c>
      <c r="H8" s="16">
        <f>F8</f>
        <v>109460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18"/>
      <c r="B9" s="3"/>
      <c r="C9" s="3"/>
      <c r="D9" s="3"/>
      <c r="E9" s="3"/>
      <c r="F9" s="3"/>
      <c r="G9" s="3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14" t="s">
        <v>24</v>
      </c>
      <c r="B10" s="19"/>
      <c r="C10" s="16">
        <f t="shared" ref="C10:E10" si="4">SUM(C5:C8)</f>
        <v>337356</v>
      </c>
      <c r="D10" s="16">
        <f t="shared" si="4"/>
        <v>175680</v>
      </c>
      <c r="E10" s="16">
        <f t="shared" si="4"/>
        <v>329800</v>
      </c>
      <c r="F10" s="20">
        <f t="shared" ref="F10:H10" si="5">SUM(F4:F8)</f>
        <v>842836</v>
      </c>
      <c r="G10" s="20">
        <f t="shared" si="5"/>
        <v>1060336</v>
      </c>
      <c r="H10" s="20">
        <f t="shared" si="5"/>
        <v>1597836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14" t="s">
        <v>25</v>
      </c>
      <c r="B11" s="19"/>
      <c r="C11" s="19"/>
      <c r="D11" s="19"/>
      <c r="E11" s="19"/>
      <c r="F11" s="21">
        <f>'MEDIA BUYING'!I11</f>
        <v>61203703.7</v>
      </c>
      <c r="G11" s="21">
        <f>'MEDIA BUYING'!O11</f>
        <v>102006172.8</v>
      </c>
      <c r="H11" s="21">
        <f>'MEDIA BUYING'!U11</f>
        <v>164220535.2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41.25" customHeight="1">
      <c r="A12" s="14" t="s">
        <v>26</v>
      </c>
      <c r="B12" s="22"/>
      <c r="C12" s="3"/>
      <c r="D12" s="3"/>
      <c r="E12" s="3"/>
      <c r="F12" s="3"/>
      <c r="G12" s="3"/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5"/>
      <c r="E13" s="5"/>
      <c r="F13" s="23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E14" s="24" t="s">
        <v>27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5"/>
      <c r="E15" s="25" t="s">
        <v>28</v>
      </c>
      <c r="F15" s="26">
        <f>'CREATIVE &amp; STRATEGY'!B55+'CREATIVE PRODUCTION'!B55+'MEDIA PLANNING'!J54+'RESEARCH &amp; REPORTING'!B58</f>
        <v>320336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5"/>
      <c r="E16" s="25" t="s">
        <v>29</v>
      </c>
      <c r="F16" s="26">
        <f>F15/11</f>
        <v>29121.45455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5"/>
      <c r="E17" s="5"/>
      <c r="F17" s="23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5"/>
      <c r="E18" s="27" t="s">
        <v>30</v>
      </c>
      <c r="F18" s="28" t="s">
        <v>31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5"/>
      <c r="E19" s="27" t="s">
        <v>32</v>
      </c>
      <c r="F19" s="28" t="s">
        <v>33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5"/>
      <c r="E20" s="5"/>
      <c r="F20" s="28" t="s">
        <v>34</v>
      </c>
      <c r="G20" s="27" t="s">
        <v>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5"/>
      <c r="E21" s="5"/>
      <c r="F21" s="23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5"/>
      <c r="E22" s="5"/>
      <c r="F22" s="23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23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23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23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23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23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23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23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23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23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23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23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23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23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2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2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2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2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2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23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23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23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23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23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23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23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23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23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23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23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23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23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23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23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23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23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23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23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23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23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23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23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23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23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23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23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23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23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23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23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23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23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23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23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23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23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23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23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23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23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23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2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2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23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23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23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23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23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23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23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23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23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23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23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23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23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23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23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23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23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23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23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23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23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23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23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23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23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23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23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23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23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23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23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23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23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23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23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23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23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23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23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2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2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23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23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23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23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23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23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23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23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23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23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23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23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23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23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23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23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23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23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23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23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23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23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23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23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23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23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23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23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23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23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23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23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23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23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23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23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23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23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23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23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23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23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23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23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23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23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23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23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23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23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23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23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23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23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23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23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23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23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23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23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23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23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23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23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23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23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23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23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23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23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23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23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23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23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23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23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23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23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23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23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23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23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23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23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23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23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23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23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23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23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23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23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23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23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23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23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23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23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23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23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23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23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23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23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23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23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23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23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23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23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23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23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23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23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23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23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23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23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23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23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23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23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23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23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23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23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23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23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23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23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23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23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23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23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23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23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23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23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23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23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23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23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23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23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23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23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23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23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23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23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23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23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23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23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23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23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23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23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23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23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23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23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23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23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23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23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23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23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23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23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23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23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23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23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23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23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23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23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23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23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23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23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23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23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23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23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23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23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23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23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23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23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23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23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23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23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23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23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23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23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23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23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23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23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23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23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23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23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23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23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23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23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23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23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23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23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23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23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23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23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23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23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23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23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23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23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23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23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23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23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23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23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23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23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23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23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23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23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23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23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23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23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23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23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23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23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23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23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23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23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23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23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23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23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23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23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23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23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23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23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23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23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23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23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23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23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23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23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23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23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23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23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23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23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23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23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23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23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23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23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23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23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23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23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23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23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23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23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23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23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23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23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23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23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23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23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23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23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23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23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23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23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23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23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23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23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23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23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23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23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23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23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23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23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23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23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23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23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23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23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23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23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23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23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23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23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23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23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23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23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23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23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23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23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23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23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23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23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23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23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23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23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23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23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23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23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23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23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23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23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23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23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23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23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23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23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23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23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23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23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23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23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23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23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23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23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23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23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23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23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23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23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23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23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23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23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23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23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23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23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23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23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23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23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23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23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23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23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23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23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23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23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23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23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23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23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23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23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23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23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23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23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23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23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23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23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23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23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23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23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23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23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23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23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23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23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23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23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23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23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23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23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23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23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23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23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23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23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23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23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23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23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23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23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23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23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23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23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23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23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23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23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23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23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23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23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23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23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23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23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23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23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23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23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23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23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23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23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23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23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23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23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23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23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23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23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23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23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23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23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23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23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23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23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23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23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23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23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23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23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23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23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23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23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23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23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23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23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23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23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23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23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23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23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23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23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23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23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23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23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23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23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23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23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23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23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23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23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23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23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23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23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23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23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23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23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23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23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23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23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23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23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23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23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23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23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23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23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23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23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23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23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23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23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23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23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23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23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23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23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23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23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23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23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23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23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23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23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23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23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23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23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23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23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23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23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23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23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23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23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23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23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23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23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23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23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23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23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23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23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23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23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23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23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23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23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23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23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23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23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23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23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23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23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23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23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23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23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23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23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23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23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23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23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23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23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23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23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23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23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23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23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23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23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23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23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23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23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23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23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23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23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23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23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23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23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23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23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23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23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23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23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23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23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23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23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23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23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23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23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23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23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23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23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23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23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23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23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23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23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23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23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23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23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23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23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23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23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23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23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23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23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23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23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23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23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23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23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23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23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23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23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23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23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23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23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23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23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23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23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23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23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23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23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23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23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23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23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23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23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23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23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23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23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23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23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23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23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23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23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23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23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23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23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23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23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23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23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23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23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23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23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23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23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23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23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23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23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23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23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23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23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23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23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23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23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23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23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23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23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23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23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23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23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23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23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23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23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23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23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23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23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23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23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23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23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23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23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23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23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23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23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23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23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23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23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23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23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23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23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23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23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23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23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23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23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23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23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23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23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23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23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23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23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23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23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23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23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23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23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23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23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23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23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23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23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23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23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23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23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23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23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23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23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23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23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23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23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23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23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23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23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23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23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23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23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23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23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23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23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23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23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23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23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23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23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23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23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23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23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23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23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23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23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23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23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23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23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23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23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23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23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23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23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23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23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23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23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23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23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23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23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23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23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23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23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23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23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23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23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23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23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23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23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23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23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23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23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23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23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23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23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23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23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23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23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23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23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23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23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23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23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23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23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23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23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23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23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23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</sheetData>
  <mergeCells count="13">
    <mergeCell ref="F3:F4"/>
    <mergeCell ref="G3:G4"/>
    <mergeCell ref="H3:H4"/>
    <mergeCell ref="A9:H9"/>
    <mergeCell ref="B12:H12"/>
    <mergeCell ref="E14:F14"/>
    <mergeCell ref="A1:A2"/>
    <mergeCell ref="B1:B2"/>
    <mergeCell ref="C1:H1"/>
    <mergeCell ref="C2:E2"/>
    <mergeCell ref="F2:H2"/>
    <mergeCell ref="A3:A4"/>
    <mergeCell ref="B3:B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29" t="s">
        <v>36</v>
      </c>
      <c r="B1" s="30" t="s">
        <v>37</v>
      </c>
      <c r="C1" s="31" t="s">
        <v>38</v>
      </c>
      <c r="E1" s="31" t="s">
        <v>39</v>
      </c>
      <c r="F1" s="32"/>
      <c r="G1" s="31" t="s">
        <v>40</v>
      </c>
    </row>
    <row r="2">
      <c r="A2" s="33"/>
      <c r="B2" s="30" t="s">
        <v>41</v>
      </c>
      <c r="C2" s="34" t="s">
        <v>42</v>
      </c>
      <c r="D2" s="35" t="s">
        <v>43</v>
      </c>
      <c r="E2" s="34" t="s">
        <v>42</v>
      </c>
      <c r="F2" s="35" t="s">
        <v>43</v>
      </c>
      <c r="G2" s="34" t="s">
        <v>42</v>
      </c>
      <c r="H2" s="35" t="s">
        <v>43</v>
      </c>
    </row>
    <row r="3">
      <c r="A3" s="36" t="s">
        <v>44</v>
      </c>
      <c r="B3" s="37"/>
      <c r="C3" s="38"/>
      <c r="D3" s="39"/>
      <c r="E3" s="38"/>
      <c r="F3" s="39"/>
      <c r="G3" s="38"/>
      <c r="H3" s="39"/>
    </row>
    <row r="4">
      <c r="A4" s="33" t="s">
        <v>45</v>
      </c>
      <c r="B4" s="40">
        <v>450.0</v>
      </c>
      <c r="C4" s="38"/>
      <c r="D4" s="41">
        <f t="shared" ref="D4:D9" si="1">B4*C4</f>
        <v>0</v>
      </c>
      <c r="E4" s="38"/>
      <c r="F4" s="41">
        <f t="shared" ref="F4:F9" si="2">B4*E4</f>
        <v>0</v>
      </c>
      <c r="G4" s="38"/>
      <c r="H4" s="41">
        <f t="shared" ref="H4:H48" si="3">B4*G4</f>
        <v>0</v>
      </c>
    </row>
    <row r="5">
      <c r="A5" s="33" t="s">
        <v>46</v>
      </c>
      <c r="B5" s="40">
        <v>350.0</v>
      </c>
      <c r="C5" s="42">
        <v>40.0</v>
      </c>
      <c r="D5" s="41">
        <f t="shared" si="1"/>
        <v>14000</v>
      </c>
      <c r="E5" s="42">
        <v>16.0</v>
      </c>
      <c r="F5" s="41">
        <f t="shared" si="2"/>
        <v>5600</v>
      </c>
      <c r="G5" s="42">
        <v>16.0</v>
      </c>
      <c r="H5" s="41">
        <f t="shared" si="3"/>
        <v>5600</v>
      </c>
    </row>
    <row r="6">
      <c r="A6" s="33" t="s">
        <v>47</v>
      </c>
      <c r="B6" s="40">
        <v>250.0</v>
      </c>
      <c r="C6" s="42">
        <v>24.0</v>
      </c>
      <c r="D6" s="41">
        <f t="shared" si="1"/>
        <v>6000</v>
      </c>
      <c r="E6" s="43">
        <v>16.0</v>
      </c>
      <c r="F6" s="41">
        <f t="shared" si="2"/>
        <v>4000</v>
      </c>
      <c r="G6" s="42">
        <v>16.0</v>
      </c>
      <c r="H6" s="41">
        <f t="shared" si="3"/>
        <v>4000</v>
      </c>
    </row>
    <row r="7">
      <c r="A7" s="33" t="s">
        <v>48</v>
      </c>
      <c r="B7" s="40">
        <v>200.0</v>
      </c>
      <c r="C7" s="38"/>
      <c r="D7" s="41">
        <f t="shared" si="1"/>
        <v>0</v>
      </c>
      <c r="E7" s="38"/>
      <c r="F7" s="41">
        <f t="shared" si="2"/>
        <v>0</v>
      </c>
      <c r="G7" s="38"/>
      <c r="H7" s="41">
        <f t="shared" si="3"/>
        <v>0</v>
      </c>
    </row>
    <row r="8">
      <c r="A8" s="33" t="s">
        <v>49</v>
      </c>
      <c r="B8" s="40">
        <v>200.0</v>
      </c>
      <c r="C8" s="42">
        <v>8.0</v>
      </c>
      <c r="D8" s="41">
        <f t="shared" si="1"/>
        <v>1600</v>
      </c>
      <c r="E8" s="42">
        <v>16.0</v>
      </c>
      <c r="F8" s="41">
        <f t="shared" si="2"/>
        <v>3200</v>
      </c>
      <c r="G8" s="42">
        <v>16.0</v>
      </c>
      <c r="H8" s="41">
        <f t="shared" si="3"/>
        <v>3200</v>
      </c>
    </row>
    <row r="9">
      <c r="A9" s="33" t="s">
        <v>50</v>
      </c>
      <c r="B9" s="40">
        <v>200.0</v>
      </c>
      <c r="C9" s="38"/>
      <c r="D9" s="41">
        <f t="shared" si="1"/>
        <v>0</v>
      </c>
      <c r="E9" s="44"/>
      <c r="F9" s="41">
        <f t="shared" si="2"/>
        <v>0</v>
      </c>
      <c r="G9" s="38"/>
      <c r="H9" s="41">
        <f t="shared" si="3"/>
        <v>0</v>
      </c>
    </row>
    <row r="10">
      <c r="A10" s="33"/>
      <c r="B10" s="37"/>
      <c r="C10" s="38"/>
      <c r="D10" s="39"/>
      <c r="E10" s="38"/>
      <c r="F10" s="39"/>
      <c r="G10" s="38"/>
      <c r="H10" s="41">
        <f t="shared" si="3"/>
        <v>0</v>
      </c>
    </row>
    <row r="11">
      <c r="A11" s="36" t="s">
        <v>51</v>
      </c>
      <c r="B11" s="37"/>
      <c r="C11" s="42"/>
      <c r="D11" s="39"/>
      <c r="E11" s="38"/>
      <c r="F11" s="39"/>
      <c r="G11" s="38"/>
      <c r="H11" s="41">
        <f t="shared" si="3"/>
        <v>0</v>
      </c>
    </row>
    <row r="12">
      <c r="A12" s="33" t="s">
        <v>52</v>
      </c>
      <c r="B12" s="40">
        <v>250.0</v>
      </c>
      <c r="C12" s="38"/>
      <c r="D12" s="41">
        <f t="shared" ref="D12:D15" si="4">B12*C12</f>
        <v>0</v>
      </c>
      <c r="E12" s="38"/>
      <c r="F12" s="41">
        <f t="shared" ref="F12:F15" si="5">B12*E12</f>
        <v>0</v>
      </c>
      <c r="G12" s="38"/>
      <c r="H12" s="41">
        <f t="shared" si="3"/>
        <v>0</v>
      </c>
    </row>
    <row r="13">
      <c r="A13" s="33" t="s">
        <v>53</v>
      </c>
      <c r="B13" s="40">
        <v>180.0</v>
      </c>
      <c r="C13" s="38"/>
      <c r="D13" s="41">
        <f t="shared" si="4"/>
        <v>0</v>
      </c>
      <c r="E13" s="38"/>
      <c r="F13" s="41">
        <f t="shared" si="5"/>
        <v>0</v>
      </c>
      <c r="G13" s="38"/>
      <c r="H13" s="41">
        <f t="shared" si="3"/>
        <v>0</v>
      </c>
    </row>
    <row r="14">
      <c r="A14" s="33" t="s">
        <v>54</v>
      </c>
      <c r="B14" s="40">
        <v>150.0</v>
      </c>
      <c r="C14" s="38"/>
      <c r="D14" s="41">
        <f t="shared" si="4"/>
        <v>0</v>
      </c>
      <c r="E14" s="38"/>
      <c r="F14" s="41">
        <f t="shared" si="5"/>
        <v>0</v>
      </c>
      <c r="G14" s="38"/>
      <c r="H14" s="41">
        <f t="shared" si="3"/>
        <v>0</v>
      </c>
    </row>
    <row r="15">
      <c r="A15" s="33" t="s">
        <v>55</v>
      </c>
      <c r="B15" s="40">
        <v>120.0</v>
      </c>
      <c r="C15" s="38"/>
      <c r="D15" s="41">
        <f t="shared" si="4"/>
        <v>0</v>
      </c>
      <c r="E15" s="38"/>
      <c r="F15" s="41">
        <f t="shared" si="5"/>
        <v>0</v>
      </c>
      <c r="G15" s="38"/>
      <c r="H15" s="41">
        <f t="shared" si="3"/>
        <v>0</v>
      </c>
    </row>
    <row r="16">
      <c r="A16" s="33"/>
      <c r="B16" s="37"/>
      <c r="C16" s="38"/>
      <c r="D16" s="39"/>
      <c r="E16" s="38"/>
      <c r="F16" s="39"/>
      <c r="G16" s="38"/>
      <c r="H16" s="41">
        <f t="shared" si="3"/>
        <v>0</v>
      </c>
    </row>
    <row r="17">
      <c r="A17" s="36" t="s">
        <v>56</v>
      </c>
      <c r="B17" s="37"/>
      <c r="C17" s="38"/>
      <c r="D17" s="39"/>
      <c r="E17" s="38"/>
      <c r="F17" s="39"/>
      <c r="G17" s="38"/>
      <c r="H17" s="41">
        <f t="shared" si="3"/>
        <v>0</v>
      </c>
    </row>
    <row r="18">
      <c r="A18" s="33" t="s">
        <v>57</v>
      </c>
      <c r="B18" s="40">
        <v>200.0</v>
      </c>
      <c r="C18" s="38"/>
      <c r="D18" s="41">
        <f t="shared" ref="D18:D20" si="6">B18*C18</f>
        <v>0</v>
      </c>
      <c r="E18" s="38"/>
      <c r="F18" s="41">
        <f t="shared" ref="F18:F20" si="7">B18*E18</f>
        <v>0</v>
      </c>
      <c r="G18" s="38"/>
      <c r="H18" s="41">
        <f t="shared" si="3"/>
        <v>0</v>
      </c>
    </row>
    <row r="19">
      <c r="A19" s="33" t="s">
        <v>58</v>
      </c>
      <c r="B19" s="40">
        <v>200.0</v>
      </c>
      <c r="C19" s="38"/>
      <c r="D19" s="41">
        <f t="shared" si="6"/>
        <v>0</v>
      </c>
      <c r="E19" s="38"/>
      <c r="F19" s="41">
        <f t="shared" si="7"/>
        <v>0</v>
      </c>
      <c r="G19" s="38"/>
      <c r="H19" s="41">
        <f t="shared" si="3"/>
        <v>0</v>
      </c>
    </row>
    <row r="20">
      <c r="A20" s="33" t="s">
        <v>59</v>
      </c>
      <c r="B20" s="40">
        <v>100.0</v>
      </c>
      <c r="C20" s="38"/>
      <c r="D20" s="41">
        <f t="shared" si="6"/>
        <v>0</v>
      </c>
      <c r="E20" s="38"/>
      <c r="F20" s="41">
        <f t="shared" si="7"/>
        <v>0</v>
      </c>
      <c r="G20" s="38"/>
      <c r="H20" s="41">
        <f t="shared" si="3"/>
        <v>0</v>
      </c>
    </row>
    <row r="21">
      <c r="A21" s="33"/>
      <c r="B21" s="37"/>
      <c r="C21" s="38"/>
      <c r="D21" s="39"/>
      <c r="E21" s="38"/>
      <c r="F21" s="39"/>
      <c r="G21" s="38"/>
      <c r="H21" s="41">
        <f t="shared" si="3"/>
        <v>0</v>
      </c>
    </row>
    <row r="22">
      <c r="A22" s="36" t="s">
        <v>60</v>
      </c>
      <c r="B22" s="37"/>
      <c r="C22" s="38"/>
      <c r="D22" s="39"/>
      <c r="E22" s="38"/>
      <c r="F22" s="39"/>
      <c r="G22" s="38"/>
      <c r="H22" s="41">
        <f t="shared" si="3"/>
        <v>0</v>
      </c>
    </row>
    <row r="23">
      <c r="A23" s="33" t="s">
        <v>61</v>
      </c>
      <c r="B23" s="40">
        <v>350.0</v>
      </c>
      <c r="C23" s="38"/>
      <c r="D23" s="41">
        <f t="shared" ref="D23:D28" si="8">B23*C23</f>
        <v>0</v>
      </c>
      <c r="E23" s="38"/>
      <c r="F23" s="41">
        <f t="shared" ref="F23:F28" si="9">B23*E23</f>
        <v>0</v>
      </c>
      <c r="G23" s="38"/>
      <c r="H23" s="41">
        <f t="shared" si="3"/>
        <v>0</v>
      </c>
    </row>
    <row r="24">
      <c r="A24" s="33" t="s">
        <v>62</v>
      </c>
      <c r="B24" s="40">
        <v>225.0</v>
      </c>
      <c r="C24" s="38"/>
      <c r="D24" s="41">
        <f t="shared" si="8"/>
        <v>0</v>
      </c>
      <c r="E24" s="38"/>
      <c r="F24" s="41">
        <f t="shared" si="9"/>
        <v>0</v>
      </c>
      <c r="G24" s="38"/>
      <c r="H24" s="41">
        <f t="shared" si="3"/>
        <v>0</v>
      </c>
    </row>
    <row r="25">
      <c r="A25" s="33" t="s">
        <v>63</v>
      </c>
      <c r="B25" s="40">
        <v>180.0</v>
      </c>
      <c r="C25" s="38"/>
      <c r="D25" s="41">
        <f t="shared" si="8"/>
        <v>0</v>
      </c>
      <c r="E25" s="38"/>
      <c r="F25" s="41">
        <f t="shared" si="9"/>
        <v>0</v>
      </c>
      <c r="G25" s="38"/>
      <c r="H25" s="41">
        <f t="shared" si="3"/>
        <v>0</v>
      </c>
    </row>
    <row r="26">
      <c r="A26" s="33" t="s">
        <v>64</v>
      </c>
      <c r="B26" s="40">
        <v>150.0</v>
      </c>
      <c r="C26" s="38"/>
      <c r="D26" s="41">
        <f t="shared" si="8"/>
        <v>0</v>
      </c>
      <c r="E26" s="38"/>
      <c r="F26" s="41">
        <f t="shared" si="9"/>
        <v>0</v>
      </c>
      <c r="G26" s="38"/>
      <c r="H26" s="41">
        <f t="shared" si="3"/>
        <v>0</v>
      </c>
    </row>
    <row r="27">
      <c r="A27" s="33" t="s">
        <v>65</v>
      </c>
      <c r="B27" s="40">
        <v>180.0</v>
      </c>
      <c r="C27" s="38"/>
      <c r="D27" s="41">
        <f t="shared" si="8"/>
        <v>0</v>
      </c>
      <c r="E27" s="38"/>
      <c r="F27" s="41">
        <f t="shared" si="9"/>
        <v>0</v>
      </c>
      <c r="G27" s="38"/>
      <c r="H27" s="41">
        <f t="shared" si="3"/>
        <v>0</v>
      </c>
    </row>
    <row r="28">
      <c r="A28" s="33" t="s">
        <v>66</v>
      </c>
      <c r="B28" s="40">
        <v>200.0</v>
      </c>
      <c r="C28" s="38"/>
      <c r="D28" s="41">
        <f t="shared" si="8"/>
        <v>0</v>
      </c>
      <c r="E28" s="38"/>
      <c r="F28" s="41">
        <f t="shared" si="9"/>
        <v>0</v>
      </c>
      <c r="G28" s="38"/>
      <c r="H28" s="41">
        <f t="shared" si="3"/>
        <v>0</v>
      </c>
    </row>
    <row r="29">
      <c r="A29" s="33"/>
      <c r="B29" s="37"/>
      <c r="C29" s="38"/>
      <c r="D29" s="39"/>
      <c r="E29" s="38"/>
      <c r="F29" s="39"/>
      <c r="G29" s="38"/>
      <c r="H29" s="41">
        <f t="shared" si="3"/>
        <v>0</v>
      </c>
    </row>
    <row r="30">
      <c r="A30" s="36" t="s">
        <v>67</v>
      </c>
      <c r="B30" s="37"/>
      <c r="C30" s="38"/>
      <c r="D30" s="39"/>
      <c r="E30" s="38"/>
      <c r="F30" s="39"/>
      <c r="G30" s="38"/>
      <c r="H30" s="41">
        <f t="shared" si="3"/>
        <v>0</v>
      </c>
    </row>
    <row r="31">
      <c r="A31" s="33" t="s">
        <v>68</v>
      </c>
      <c r="B31" s="40">
        <v>250.0</v>
      </c>
      <c r="C31" s="38"/>
      <c r="D31" s="41">
        <f t="shared" ref="D31:D32" si="10">B31*C31</f>
        <v>0</v>
      </c>
      <c r="E31" s="38"/>
      <c r="F31" s="41">
        <f t="shared" ref="F31:F32" si="11">B31*E31</f>
        <v>0</v>
      </c>
      <c r="G31" s="38"/>
      <c r="H31" s="41">
        <f t="shared" si="3"/>
        <v>0</v>
      </c>
    </row>
    <row r="32">
      <c r="A32" s="33" t="s">
        <v>69</v>
      </c>
      <c r="B32" s="40">
        <v>180.0</v>
      </c>
      <c r="C32" s="38"/>
      <c r="D32" s="41">
        <f t="shared" si="10"/>
        <v>0</v>
      </c>
      <c r="E32" s="38"/>
      <c r="F32" s="41">
        <f t="shared" si="11"/>
        <v>0</v>
      </c>
      <c r="G32" s="38"/>
      <c r="H32" s="41">
        <f t="shared" si="3"/>
        <v>0</v>
      </c>
    </row>
    <row r="33">
      <c r="A33" s="33"/>
      <c r="B33" s="37"/>
      <c r="C33" s="38"/>
      <c r="D33" s="39"/>
      <c r="E33" s="38"/>
      <c r="F33" s="39"/>
      <c r="G33" s="38"/>
      <c r="H33" s="41">
        <f t="shared" si="3"/>
        <v>0</v>
      </c>
    </row>
    <row r="34">
      <c r="A34" s="36" t="s">
        <v>70</v>
      </c>
      <c r="B34" s="37"/>
      <c r="C34" s="38"/>
      <c r="D34" s="39"/>
      <c r="E34" s="38"/>
      <c r="F34" s="39"/>
      <c r="G34" s="38"/>
      <c r="H34" s="41">
        <f t="shared" si="3"/>
        <v>0</v>
      </c>
    </row>
    <row r="35">
      <c r="A35" s="33" t="s">
        <v>71</v>
      </c>
      <c r="B35" s="40">
        <v>250.0</v>
      </c>
      <c r="C35" s="44"/>
      <c r="D35" s="41">
        <f t="shared" ref="D35:D39" si="12">B35*C35</f>
        <v>0</v>
      </c>
      <c r="E35" s="44"/>
      <c r="F35" s="41">
        <f t="shared" ref="F35:F39" si="13">B35*E35</f>
        <v>0</v>
      </c>
      <c r="G35" s="38"/>
      <c r="H35" s="41">
        <f t="shared" si="3"/>
        <v>0</v>
      </c>
    </row>
    <row r="36">
      <c r="A36" s="33" t="s">
        <v>72</v>
      </c>
      <c r="B36" s="40">
        <v>200.0</v>
      </c>
      <c r="C36" s="38"/>
      <c r="D36" s="41">
        <f t="shared" si="12"/>
        <v>0</v>
      </c>
      <c r="E36" s="38"/>
      <c r="F36" s="41">
        <f t="shared" si="13"/>
        <v>0</v>
      </c>
      <c r="G36" s="38"/>
      <c r="H36" s="41">
        <f t="shared" si="3"/>
        <v>0</v>
      </c>
    </row>
    <row r="37">
      <c r="A37" s="33" t="s">
        <v>73</v>
      </c>
      <c r="B37" s="40">
        <v>180.0</v>
      </c>
      <c r="C37" s="42">
        <v>16.0</v>
      </c>
      <c r="D37" s="41">
        <f t="shared" si="12"/>
        <v>2880</v>
      </c>
      <c r="E37" s="43">
        <v>16.0</v>
      </c>
      <c r="F37" s="41">
        <f t="shared" si="13"/>
        <v>2880</v>
      </c>
      <c r="G37" s="42">
        <v>16.0</v>
      </c>
      <c r="H37" s="41">
        <f t="shared" si="3"/>
        <v>2880</v>
      </c>
    </row>
    <row r="38">
      <c r="A38" s="33" t="s">
        <v>74</v>
      </c>
      <c r="B38" s="40">
        <v>150.0</v>
      </c>
      <c r="C38" s="44"/>
      <c r="D38" s="41">
        <f t="shared" si="12"/>
        <v>0</v>
      </c>
      <c r="E38" s="38"/>
      <c r="F38" s="41">
        <f t="shared" si="13"/>
        <v>0</v>
      </c>
      <c r="G38" s="38"/>
      <c r="H38" s="41">
        <f t="shared" si="3"/>
        <v>0</v>
      </c>
    </row>
    <row r="39">
      <c r="A39" s="45" t="s">
        <v>75</v>
      </c>
      <c r="B39" s="40">
        <v>120.0</v>
      </c>
      <c r="C39" s="38"/>
      <c r="D39" s="41">
        <f t="shared" si="12"/>
        <v>0</v>
      </c>
      <c r="E39" s="38"/>
      <c r="F39" s="41">
        <f t="shared" si="13"/>
        <v>0</v>
      </c>
      <c r="G39" s="38"/>
      <c r="H39" s="41">
        <f t="shared" si="3"/>
        <v>0</v>
      </c>
    </row>
    <row r="40">
      <c r="A40" s="33"/>
      <c r="B40" s="37"/>
      <c r="C40" s="38"/>
      <c r="D40" s="39"/>
      <c r="E40" s="38"/>
      <c r="F40" s="39"/>
      <c r="G40" s="38"/>
      <c r="H40" s="41">
        <f t="shared" si="3"/>
        <v>0</v>
      </c>
    </row>
    <row r="41">
      <c r="A41" s="36" t="s">
        <v>76</v>
      </c>
      <c r="B41" s="37"/>
      <c r="C41" s="38"/>
      <c r="D41" s="39"/>
      <c r="E41" s="38"/>
      <c r="F41" s="39"/>
      <c r="G41" s="38"/>
      <c r="H41" s="41">
        <f t="shared" si="3"/>
        <v>0</v>
      </c>
    </row>
    <row r="42">
      <c r="A42" s="33" t="s">
        <v>77</v>
      </c>
      <c r="B42" s="40">
        <v>450.0</v>
      </c>
      <c r="C42" s="38"/>
      <c r="D42" s="41">
        <f t="shared" ref="D42:D47" si="14">B42*C42</f>
        <v>0</v>
      </c>
      <c r="E42" s="38"/>
      <c r="F42" s="41">
        <f t="shared" ref="F42:F47" si="15">B42*E42</f>
        <v>0</v>
      </c>
      <c r="G42" s="38"/>
      <c r="H42" s="41">
        <f t="shared" si="3"/>
        <v>0</v>
      </c>
    </row>
    <row r="43">
      <c r="A43" s="33" t="s">
        <v>78</v>
      </c>
      <c r="B43" s="40">
        <v>225.0</v>
      </c>
      <c r="C43" s="38"/>
      <c r="D43" s="41">
        <f t="shared" si="14"/>
        <v>0</v>
      </c>
      <c r="E43" s="38"/>
      <c r="F43" s="41">
        <f t="shared" si="15"/>
        <v>0</v>
      </c>
      <c r="G43" s="38"/>
      <c r="H43" s="41">
        <f t="shared" si="3"/>
        <v>0</v>
      </c>
    </row>
    <row r="44">
      <c r="A44" s="33" t="s">
        <v>79</v>
      </c>
      <c r="B44" s="40">
        <v>250.0</v>
      </c>
      <c r="C44" s="43">
        <v>8.0</v>
      </c>
      <c r="D44" s="41">
        <f t="shared" si="14"/>
        <v>2000</v>
      </c>
      <c r="E44" s="42">
        <v>8.0</v>
      </c>
      <c r="F44" s="41">
        <f t="shared" si="15"/>
        <v>2000</v>
      </c>
      <c r="G44" s="42">
        <v>8.0</v>
      </c>
      <c r="H44" s="41">
        <f t="shared" si="3"/>
        <v>2000</v>
      </c>
    </row>
    <row r="45">
      <c r="A45" s="33" t="s">
        <v>80</v>
      </c>
      <c r="B45" s="40">
        <v>180.0</v>
      </c>
      <c r="C45" s="42">
        <v>8.0</v>
      </c>
      <c r="D45" s="41">
        <f t="shared" si="14"/>
        <v>1440</v>
      </c>
      <c r="E45" s="42">
        <v>8.0</v>
      </c>
      <c r="F45" s="41">
        <f t="shared" si="15"/>
        <v>1440</v>
      </c>
      <c r="G45" s="42">
        <v>8.0</v>
      </c>
      <c r="H45" s="41">
        <f t="shared" si="3"/>
        <v>1440</v>
      </c>
    </row>
    <row r="46">
      <c r="A46" s="33" t="s">
        <v>81</v>
      </c>
      <c r="B46" s="40">
        <v>150.0</v>
      </c>
      <c r="C46" s="38"/>
      <c r="D46" s="41">
        <f t="shared" si="14"/>
        <v>0</v>
      </c>
      <c r="E46" s="38"/>
      <c r="F46" s="41">
        <f t="shared" si="15"/>
        <v>0</v>
      </c>
      <c r="G46" s="38"/>
      <c r="H46" s="41">
        <f t="shared" si="3"/>
        <v>0</v>
      </c>
    </row>
    <row r="47">
      <c r="A47" s="33" t="s">
        <v>82</v>
      </c>
      <c r="B47" s="40">
        <v>180.0</v>
      </c>
      <c r="C47" s="43">
        <v>16.0</v>
      </c>
      <c r="D47" s="41">
        <f t="shared" si="14"/>
        <v>2880</v>
      </c>
      <c r="E47" s="42">
        <v>8.0</v>
      </c>
      <c r="F47" s="41">
        <f t="shared" si="15"/>
        <v>1440</v>
      </c>
      <c r="G47" s="42">
        <v>8.0</v>
      </c>
      <c r="H47" s="41">
        <f t="shared" si="3"/>
        <v>1440</v>
      </c>
    </row>
    <row r="48">
      <c r="A48" s="33"/>
      <c r="B48" s="37"/>
      <c r="C48" s="38"/>
      <c r="D48" s="39"/>
      <c r="E48" s="38"/>
      <c r="F48" s="39"/>
      <c r="G48" s="38"/>
      <c r="H48" s="41">
        <f t="shared" si="3"/>
        <v>0</v>
      </c>
    </row>
    <row r="49">
      <c r="A49" s="36" t="s">
        <v>83</v>
      </c>
      <c r="B49" s="37"/>
      <c r="C49" s="38"/>
      <c r="D49" s="39"/>
      <c r="E49" s="38"/>
      <c r="F49" s="39"/>
      <c r="G49" s="38"/>
      <c r="H49" s="41">
        <v>0.0</v>
      </c>
    </row>
    <row r="50">
      <c r="A50" s="33" t="s">
        <v>84</v>
      </c>
      <c r="B50" s="37"/>
      <c r="C50" s="38"/>
      <c r="D50" s="39"/>
      <c r="E50" s="38"/>
      <c r="F50" s="39"/>
      <c r="G50" s="38"/>
      <c r="H50" s="41">
        <f t="shared" ref="H50:H51" si="16">B50*G50</f>
        <v>0</v>
      </c>
    </row>
    <row r="51">
      <c r="A51" s="33"/>
      <c r="B51" s="37"/>
      <c r="C51" s="38"/>
      <c r="D51" s="39"/>
      <c r="E51" s="38"/>
      <c r="F51" s="39"/>
      <c r="G51" s="38"/>
      <c r="H51" s="41">
        <f t="shared" si="16"/>
        <v>0</v>
      </c>
    </row>
    <row r="52">
      <c r="A52" s="33"/>
      <c r="B52" s="37"/>
      <c r="C52" s="38"/>
      <c r="D52" s="39"/>
      <c r="E52" s="38"/>
      <c r="F52" s="39"/>
      <c r="G52" s="33"/>
      <c r="H52" s="46"/>
    </row>
    <row r="53">
      <c r="A53" s="29" t="s">
        <v>85</v>
      </c>
      <c r="B53" s="37"/>
      <c r="C53" s="47">
        <f>SUM(C4:C52)</f>
        <v>120</v>
      </c>
      <c r="D53" s="48">
        <f>SUM(D3:D52)</f>
        <v>30800</v>
      </c>
      <c r="E53" s="47">
        <f>SUM(E4:E52)</f>
        <v>88</v>
      </c>
      <c r="F53" s="48">
        <f>SUM(F3:F52)</f>
        <v>20560</v>
      </c>
      <c r="G53" s="47">
        <f t="shared" ref="G53:H53" si="17">SUM(G4:G52)</f>
        <v>88</v>
      </c>
      <c r="H53" s="48">
        <f t="shared" si="17"/>
        <v>20560</v>
      </c>
    </row>
    <row r="55">
      <c r="A55" s="49" t="s">
        <v>86</v>
      </c>
      <c r="B55" s="50">
        <f>D53+F53+H53</f>
        <v>71920</v>
      </c>
    </row>
  </sheetData>
  <mergeCells count="3">
    <mergeCell ref="C1:D1"/>
    <mergeCell ref="E1:F1"/>
    <mergeCell ref="G1: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36</v>
      </c>
      <c r="B1" s="30" t="s">
        <v>37</v>
      </c>
      <c r="C1" s="31" t="s">
        <v>38</v>
      </c>
      <c r="E1" s="31" t="s">
        <v>39</v>
      </c>
      <c r="F1" s="32"/>
      <c r="G1" s="31" t="s">
        <v>40</v>
      </c>
    </row>
    <row r="2">
      <c r="A2" s="33"/>
      <c r="B2" s="30" t="s">
        <v>41</v>
      </c>
      <c r="C2" s="34" t="s">
        <v>42</v>
      </c>
      <c r="D2" s="35" t="s">
        <v>43</v>
      </c>
      <c r="E2" s="34" t="s">
        <v>42</v>
      </c>
      <c r="F2" s="35" t="s">
        <v>43</v>
      </c>
      <c r="G2" s="34" t="s">
        <v>42</v>
      </c>
      <c r="H2" s="35" t="s">
        <v>43</v>
      </c>
    </row>
    <row r="3">
      <c r="A3" s="36" t="s">
        <v>44</v>
      </c>
      <c r="B3" s="37"/>
      <c r="C3" s="38"/>
      <c r="D3" s="39"/>
      <c r="E3" s="38"/>
      <c r="F3" s="39"/>
      <c r="G3" s="38"/>
      <c r="H3" s="39"/>
    </row>
    <row r="4">
      <c r="A4" s="33" t="s">
        <v>45</v>
      </c>
      <c r="B4" s="40">
        <v>450.0</v>
      </c>
      <c r="C4" s="38"/>
      <c r="D4" s="41">
        <f t="shared" ref="D4:D9" si="1">B4*C4</f>
        <v>0</v>
      </c>
      <c r="E4" s="38"/>
      <c r="F4" s="41">
        <f t="shared" ref="F4:F9" si="2">B4*E4</f>
        <v>0</v>
      </c>
      <c r="G4" s="38"/>
      <c r="H4" s="41">
        <f t="shared" ref="H4:H48" si="3">B4*G4</f>
        <v>0</v>
      </c>
    </row>
    <row r="5">
      <c r="A5" s="33" t="s">
        <v>46</v>
      </c>
      <c r="B5" s="40">
        <v>350.0</v>
      </c>
      <c r="C5" s="42">
        <v>40.0</v>
      </c>
      <c r="D5" s="41">
        <f t="shared" si="1"/>
        <v>14000</v>
      </c>
      <c r="E5" s="42">
        <v>16.0</v>
      </c>
      <c r="F5" s="41">
        <f t="shared" si="2"/>
        <v>5600</v>
      </c>
      <c r="G5" s="42">
        <v>16.0</v>
      </c>
      <c r="H5" s="41">
        <f t="shared" si="3"/>
        <v>5600</v>
      </c>
    </row>
    <row r="6">
      <c r="A6" s="33" t="s">
        <v>47</v>
      </c>
      <c r="B6" s="40">
        <v>250.0</v>
      </c>
      <c r="C6" s="42">
        <v>24.0</v>
      </c>
      <c r="D6" s="41">
        <f t="shared" si="1"/>
        <v>6000</v>
      </c>
      <c r="E6" s="43">
        <v>16.0</v>
      </c>
      <c r="F6" s="41">
        <f t="shared" si="2"/>
        <v>4000</v>
      </c>
      <c r="G6" s="42">
        <v>16.0</v>
      </c>
      <c r="H6" s="41">
        <f t="shared" si="3"/>
        <v>4000</v>
      </c>
    </row>
    <row r="7">
      <c r="A7" s="33" t="s">
        <v>48</v>
      </c>
      <c r="B7" s="40">
        <v>200.0</v>
      </c>
      <c r="C7" s="38"/>
      <c r="D7" s="41">
        <f t="shared" si="1"/>
        <v>0</v>
      </c>
      <c r="E7" s="38"/>
      <c r="F7" s="41">
        <f t="shared" si="2"/>
        <v>0</v>
      </c>
      <c r="G7" s="38"/>
      <c r="H7" s="41">
        <f t="shared" si="3"/>
        <v>0</v>
      </c>
    </row>
    <row r="8">
      <c r="A8" s="33" t="s">
        <v>49</v>
      </c>
      <c r="B8" s="40">
        <v>200.0</v>
      </c>
      <c r="C8" s="42">
        <v>8.0</v>
      </c>
      <c r="D8" s="41">
        <f t="shared" si="1"/>
        <v>1600</v>
      </c>
      <c r="E8" s="38"/>
      <c r="F8" s="41">
        <f t="shared" si="2"/>
        <v>0</v>
      </c>
      <c r="G8" s="38"/>
      <c r="H8" s="41">
        <f t="shared" si="3"/>
        <v>0</v>
      </c>
    </row>
    <row r="9">
      <c r="A9" s="33" t="s">
        <v>50</v>
      </c>
      <c r="B9" s="40">
        <v>200.0</v>
      </c>
      <c r="C9" s="38"/>
      <c r="D9" s="41">
        <f t="shared" si="1"/>
        <v>0</v>
      </c>
      <c r="E9" s="44"/>
      <c r="F9" s="41">
        <f t="shared" si="2"/>
        <v>0</v>
      </c>
      <c r="G9" s="38"/>
      <c r="H9" s="41">
        <f t="shared" si="3"/>
        <v>0</v>
      </c>
    </row>
    <row r="10">
      <c r="A10" s="33"/>
      <c r="B10" s="37"/>
      <c r="C10" s="38"/>
      <c r="D10" s="39"/>
      <c r="E10" s="38"/>
      <c r="F10" s="39"/>
      <c r="G10" s="38"/>
      <c r="H10" s="41">
        <f t="shared" si="3"/>
        <v>0</v>
      </c>
    </row>
    <row r="11">
      <c r="A11" s="36" t="s">
        <v>51</v>
      </c>
      <c r="B11" s="37"/>
      <c r="C11" s="38"/>
      <c r="D11" s="39"/>
      <c r="E11" s="38"/>
      <c r="F11" s="39"/>
      <c r="G11" s="38"/>
      <c r="H11" s="41">
        <f t="shared" si="3"/>
        <v>0</v>
      </c>
    </row>
    <row r="12">
      <c r="A12" s="33" t="s">
        <v>52</v>
      </c>
      <c r="B12" s="40">
        <v>250.0</v>
      </c>
      <c r="C12" s="42">
        <v>12.0</v>
      </c>
      <c r="D12" s="41">
        <f t="shared" ref="D12:D15" si="4">B12*C12</f>
        <v>3000</v>
      </c>
      <c r="E12" s="38"/>
      <c r="F12" s="41">
        <f t="shared" ref="F12:F15" si="5">B12*E12</f>
        <v>0</v>
      </c>
      <c r="G12" s="38"/>
      <c r="H12" s="41">
        <f t="shared" si="3"/>
        <v>0</v>
      </c>
    </row>
    <row r="13">
      <c r="A13" s="33" t="s">
        <v>53</v>
      </c>
      <c r="B13" s="40">
        <v>180.0</v>
      </c>
      <c r="C13" s="42">
        <v>12.0</v>
      </c>
      <c r="D13" s="41">
        <f t="shared" si="4"/>
        <v>2160</v>
      </c>
      <c r="E13" s="38"/>
      <c r="F13" s="41">
        <f t="shared" si="5"/>
        <v>0</v>
      </c>
      <c r="G13" s="38"/>
      <c r="H13" s="41">
        <f t="shared" si="3"/>
        <v>0</v>
      </c>
    </row>
    <row r="14">
      <c r="A14" s="33" t="s">
        <v>54</v>
      </c>
      <c r="B14" s="40">
        <v>150.0</v>
      </c>
      <c r="C14" s="38"/>
      <c r="D14" s="41">
        <f t="shared" si="4"/>
        <v>0</v>
      </c>
      <c r="E14" s="38"/>
      <c r="F14" s="41">
        <f t="shared" si="5"/>
        <v>0</v>
      </c>
      <c r="G14" s="38"/>
      <c r="H14" s="41">
        <f t="shared" si="3"/>
        <v>0</v>
      </c>
    </row>
    <row r="15">
      <c r="A15" s="33" t="s">
        <v>55</v>
      </c>
      <c r="B15" s="40">
        <v>120.0</v>
      </c>
      <c r="C15" s="38"/>
      <c r="D15" s="41">
        <f t="shared" si="4"/>
        <v>0</v>
      </c>
      <c r="E15" s="38"/>
      <c r="F15" s="41">
        <f t="shared" si="5"/>
        <v>0</v>
      </c>
      <c r="G15" s="38"/>
      <c r="H15" s="41">
        <f t="shared" si="3"/>
        <v>0</v>
      </c>
    </row>
    <row r="16">
      <c r="A16" s="33"/>
      <c r="B16" s="37"/>
      <c r="C16" s="38"/>
      <c r="D16" s="39"/>
      <c r="E16" s="38"/>
      <c r="F16" s="39"/>
      <c r="G16" s="38"/>
      <c r="H16" s="41">
        <f t="shared" si="3"/>
        <v>0</v>
      </c>
    </row>
    <row r="17">
      <c r="A17" s="36" t="s">
        <v>56</v>
      </c>
      <c r="B17" s="37"/>
      <c r="C17" s="38"/>
      <c r="D17" s="39"/>
      <c r="E17" s="38"/>
      <c r="F17" s="39"/>
      <c r="G17" s="38"/>
      <c r="H17" s="41">
        <f t="shared" si="3"/>
        <v>0</v>
      </c>
    </row>
    <row r="18">
      <c r="A18" s="33" t="s">
        <v>57</v>
      </c>
      <c r="B18" s="40">
        <v>200.0</v>
      </c>
      <c r="C18" s="38"/>
      <c r="D18" s="41">
        <f t="shared" ref="D18:D20" si="6">B18*C18</f>
        <v>0</v>
      </c>
      <c r="E18" s="38"/>
      <c r="F18" s="41">
        <f t="shared" ref="F18:F20" si="7">B18*E18</f>
        <v>0</v>
      </c>
      <c r="G18" s="38"/>
      <c r="H18" s="41">
        <f t="shared" si="3"/>
        <v>0</v>
      </c>
    </row>
    <row r="19">
      <c r="A19" s="33" t="s">
        <v>58</v>
      </c>
      <c r="B19" s="40">
        <v>200.0</v>
      </c>
      <c r="C19" s="38"/>
      <c r="D19" s="41">
        <f t="shared" si="6"/>
        <v>0</v>
      </c>
      <c r="E19" s="38"/>
      <c r="F19" s="41">
        <f t="shared" si="7"/>
        <v>0</v>
      </c>
      <c r="G19" s="38"/>
      <c r="H19" s="41">
        <f t="shared" si="3"/>
        <v>0</v>
      </c>
    </row>
    <row r="20">
      <c r="A20" s="33" t="s">
        <v>59</v>
      </c>
      <c r="B20" s="40">
        <v>100.0</v>
      </c>
      <c r="C20" s="38"/>
      <c r="D20" s="41">
        <f t="shared" si="6"/>
        <v>0</v>
      </c>
      <c r="E20" s="38"/>
      <c r="F20" s="41">
        <f t="shared" si="7"/>
        <v>0</v>
      </c>
      <c r="G20" s="38"/>
      <c r="H20" s="41">
        <f t="shared" si="3"/>
        <v>0</v>
      </c>
    </row>
    <row r="21">
      <c r="A21" s="33"/>
      <c r="B21" s="37"/>
      <c r="C21" s="38"/>
      <c r="D21" s="39"/>
      <c r="E21" s="38"/>
      <c r="F21" s="39"/>
      <c r="G21" s="38"/>
      <c r="H21" s="41">
        <f t="shared" si="3"/>
        <v>0</v>
      </c>
    </row>
    <row r="22">
      <c r="A22" s="36" t="s">
        <v>60</v>
      </c>
      <c r="B22" s="37"/>
      <c r="C22" s="38"/>
      <c r="D22" s="39"/>
      <c r="E22" s="38"/>
      <c r="F22" s="39"/>
      <c r="G22" s="38"/>
      <c r="H22" s="41">
        <f t="shared" si="3"/>
        <v>0</v>
      </c>
    </row>
    <row r="23">
      <c r="A23" s="33" t="s">
        <v>61</v>
      </c>
      <c r="B23" s="40">
        <v>350.0</v>
      </c>
      <c r="C23" s="38"/>
      <c r="D23" s="41">
        <f t="shared" ref="D23:D28" si="8">B23*C23</f>
        <v>0</v>
      </c>
      <c r="E23" s="38"/>
      <c r="F23" s="41">
        <f t="shared" ref="F23:F28" si="9">B23*E23</f>
        <v>0</v>
      </c>
      <c r="G23" s="38"/>
      <c r="H23" s="41">
        <f t="shared" si="3"/>
        <v>0</v>
      </c>
    </row>
    <row r="24">
      <c r="A24" s="33" t="s">
        <v>62</v>
      </c>
      <c r="B24" s="40">
        <v>225.0</v>
      </c>
      <c r="C24" s="38"/>
      <c r="D24" s="41">
        <f t="shared" si="8"/>
        <v>0</v>
      </c>
      <c r="E24" s="38"/>
      <c r="F24" s="41">
        <f t="shared" si="9"/>
        <v>0</v>
      </c>
      <c r="G24" s="38"/>
      <c r="H24" s="41">
        <f t="shared" si="3"/>
        <v>0</v>
      </c>
    </row>
    <row r="25">
      <c r="A25" s="33" t="s">
        <v>63</v>
      </c>
      <c r="B25" s="40">
        <v>180.0</v>
      </c>
      <c r="C25" s="42">
        <v>40.0</v>
      </c>
      <c r="D25" s="41">
        <f t="shared" si="8"/>
        <v>7200</v>
      </c>
      <c r="E25" s="38"/>
      <c r="F25" s="41">
        <f t="shared" si="9"/>
        <v>0</v>
      </c>
      <c r="G25" s="38"/>
      <c r="H25" s="41">
        <f t="shared" si="3"/>
        <v>0</v>
      </c>
    </row>
    <row r="26">
      <c r="A26" s="33" t="s">
        <v>64</v>
      </c>
      <c r="B26" s="40">
        <v>150.0</v>
      </c>
      <c r="C26" s="42">
        <v>80.0</v>
      </c>
      <c r="D26" s="41">
        <f t="shared" si="8"/>
        <v>12000</v>
      </c>
      <c r="E26" s="38"/>
      <c r="F26" s="41">
        <f t="shared" si="9"/>
        <v>0</v>
      </c>
      <c r="G26" s="38"/>
      <c r="H26" s="41">
        <f t="shared" si="3"/>
        <v>0</v>
      </c>
    </row>
    <row r="27">
      <c r="A27" s="33" t="s">
        <v>65</v>
      </c>
      <c r="B27" s="40">
        <v>180.0</v>
      </c>
      <c r="C27" s="42">
        <v>32.0</v>
      </c>
      <c r="D27" s="41">
        <f t="shared" si="8"/>
        <v>5760</v>
      </c>
      <c r="E27" s="38"/>
      <c r="F27" s="41">
        <f t="shared" si="9"/>
        <v>0</v>
      </c>
      <c r="G27" s="38"/>
      <c r="H27" s="41">
        <f t="shared" si="3"/>
        <v>0</v>
      </c>
    </row>
    <row r="28">
      <c r="A28" s="33" t="s">
        <v>66</v>
      </c>
      <c r="B28" s="40">
        <v>200.0</v>
      </c>
      <c r="C28" s="38"/>
      <c r="D28" s="41">
        <f t="shared" si="8"/>
        <v>0</v>
      </c>
      <c r="E28" s="38"/>
      <c r="F28" s="41">
        <f t="shared" si="9"/>
        <v>0</v>
      </c>
      <c r="G28" s="38"/>
      <c r="H28" s="41">
        <f t="shared" si="3"/>
        <v>0</v>
      </c>
    </row>
    <row r="29">
      <c r="A29" s="33"/>
      <c r="B29" s="37"/>
      <c r="C29" s="38"/>
      <c r="D29" s="39"/>
      <c r="E29" s="38"/>
      <c r="F29" s="39"/>
      <c r="G29" s="38"/>
      <c r="H29" s="41">
        <f t="shared" si="3"/>
        <v>0</v>
      </c>
    </row>
    <row r="30">
      <c r="A30" s="36" t="s">
        <v>67</v>
      </c>
      <c r="B30" s="37"/>
      <c r="C30" s="38"/>
      <c r="D30" s="39"/>
      <c r="E30" s="38"/>
      <c r="F30" s="39"/>
      <c r="G30" s="38"/>
      <c r="H30" s="41">
        <f t="shared" si="3"/>
        <v>0</v>
      </c>
    </row>
    <row r="31">
      <c r="A31" s="33" t="s">
        <v>68</v>
      </c>
      <c r="B31" s="40">
        <v>250.0</v>
      </c>
      <c r="C31" s="38"/>
      <c r="D31" s="41">
        <f t="shared" ref="D31:D32" si="10">B31*C31</f>
        <v>0</v>
      </c>
      <c r="E31" s="38"/>
      <c r="F31" s="41">
        <f t="shared" ref="F31:F32" si="11">B31*E31</f>
        <v>0</v>
      </c>
      <c r="G31" s="38"/>
      <c r="H31" s="41">
        <f t="shared" si="3"/>
        <v>0</v>
      </c>
    </row>
    <row r="32">
      <c r="A32" s="33" t="s">
        <v>69</v>
      </c>
      <c r="B32" s="40">
        <v>180.0</v>
      </c>
      <c r="C32" s="38"/>
      <c r="D32" s="41">
        <f t="shared" si="10"/>
        <v>0</v>
      </c>
      <c r="E32" s="38"/>
      <c r="F32" s="41">
        <f t="shared" si="11"/>
        <v>0</v>
      </c>
      <c r="G32" s="38"/>
      <c r="H32" s="41">
        <f t="shared" si="3"/>
        <v>0</v>
      </c>
    </row>
    <row r="33">
      <c r="A33" s="33"/>
      <c r="B33" s="37"/>
      <c r="C33" s="38"/>
      <c r="D33" s="39"/>
      <c r="E33" s="38"/>
      <c r="F33" s="39"/>
      <c r="G33" s="38"/>
      <c r="H33" s="41">
        <f t="shared" si="3"/>
        <v>0</v>
      </c>
    </row>
    <row r="34">
      <c r="A34" s="36" t="s">
        <v>70</v>
      </c>
      <c r="B34" s="37"/>
      <c r="C34" s="38"/>
      <c r="D34" s="39"/>
      <c r="E34" s="38"/>
      <c r="F34" s="39"/>
      <c r="G34" s="38"/>
      <c r="H34" s="41">
        <f t="shared" si="3"/>
        <v>0</v>
      </c>
    </row>
    <row r="35">
      <c r="A35" s="33" t="s">
        <v>71</v>
      </c>
      <c r="B35" s="40">
        <v>250.0</v>
      </c>
      <c r="C35" s="44"/>
      <c r="D35" s="41">
        <f t="shared" ref="D35:D39" si="12">B35*C35</f>
        <v>0</v>
      </c>
      <c r="E35" s="44"/>
      <c r="F35" s="41">
        <f t="shared" ref="F35:F39" si="13">B35*E35</f>
        <v>0</v>
      </c>
      <c r="G35" s="38"/>
      <c r="H35" s="41">
        <f t="shared" si="3"/>
        <v>0</v>
      </c>
    </row>
    <row r="36">
      <c r="A36" s="33" t="s">
        <v>72</v>
      </c>
      <c r="B36" s="40">
        <v>200.0</v>
      </c>
      <c r="C36" s="42">
        <v>16.0</v>
      </c>
      <c r="D36" s="41">
        <f t="shared" si="12"/>
        <v>3200</v>
      </c>
      <c r="E36" s="42">
        <v>16.0</v>
      </c>
      <c r="F36" s="41">
        <f t="shared" si="13"/>
        <v>3200</v>
      </c>
      <c r="G36" s="42">
        <v>16.0</v>
      </c>
      <c r="H36" s="41">
        <f t="shared" si="3"/>
        <v>3200</v>
      </c>
    </row>
    <row r="37">
      <c r="A37" s="33" t="s">
        <v>73</v>
      </c>
      <c r="B37" s="40">
        <v>180.0</v>
      </c>
      <c r="C37" s="38"/>
      <c r="D37" s="41">
        <f t="shared" si="12"/>
        <v>0</v>
      </c>
      <c r="E37" s="44"/>
      <c r="F37" s="41">
        <f t="shared" si="13"/>
        <v>0</v>
      </c>
      <c r="G37" s="38"/>
      <c r="H37" s="41">
        <f t="shared" si="3"/>
        <v>0</v>
      </c>
    </row>
    <row r="38">
      <c r="A38" s="33" t="s">
        <v>74</v>
      </c>
      <c r="B38" s="40">
        <v>150.0</v>
      </c>
      <c r="C38" s="43">
        <v>16.0</v>
      </c>
      <c r="D38" s="41">
        <f t="shared" si="12"/>
        <v>2400</v>
      </c>
      <c r="E38" s="38"/>
      <c r="F38" s="41">
        <f t="shared" si="13"/>
        <v>0</v>
      </c>
      <c r="G38" s="38"/>
      <c r="H38" s="41">
        <f t="shared" si="3"/>
        <v>0</v>
      </c>
    </row>
    <row r="39">
      <c r="A39" s="45" t="s">
        <v>75</v>
      </c>
      <c r="B39" s="40">
        <v>120.0</v>
      </c>
      <c r="C39" s="38"/>
      <c r="D39" s="41">
        <f t="shared" si="12"/>
        <v>0</v>
      </c>
      <c r="E39" s="38"/>
      <c r="F39" s="41">
        <f t="shared" si="13"/>
        <v>0</v>
      </c>
      <c r="G39" s="38"/>
      <c r="H39" s="41">
        <f t="shared" si="3"/>
        <v>0</v>
      </c>
    </row>
    <row r="40">
      <c r="A40" s="33"/>
      <c r="B40" s="37"/>
      <c r="C40" s="38"/>
      <c r="D40" s="39"/>
      <c r="E40" s="38"/>
      <c r="F40" s="39"/>
      <c r="G40" s="38"/>
      <c r="H40" s="41">
        <f t="shared" si="3"/>
        <v>0</v>
      </c>
    </row>
    <row r="41">
      <c r="A41" s="36" t="s">
        <v>76</v>
      </c>
      <c r="B41" s="37"/>
      <c r="C41" s="38"/>
      <c r="D41" s="39"/>
      <c r="E41" s="38"/>
      <c r="F41" s="39"/>
      <c r="G41" s="38"/>
      <c r="H41" s="41">
        <f t="shared" si="3"/>
        <v>0</v>
      </c>
    </row>
    <row r="42">
      <c r="A42" s="33" t="s">
        <v>77</v>
      </c>
      <c r="B42" s="40">
        <v>450.0</v>
      </c>
      <c r="C42" s="38"/>
      <c r="D42" s="41">
        <f t="shared" ref="D42:D47" si="14">B42*C42</f>
        <v>0</v>
      </c>
      <c r="E42" s="38"/>
      <c r="F42" s="41">
        <f t="shared" ref="F42:F47" si="15">B42*E42</f>
        <v>0</v>
      </c>
      <c r="G42" s="38"/>
      <c r="H42" s="41">
        <f t="shared" si="3"/>
        <v>0</v>
      </c>
    </row>
    <row r="43">
      <c r="A43" s="33" t="s">
        <v>78</v>
      </c>
      <c r="B43" s="40">
        <v>225.0</v>
      </c>
      <c r="C43" s="38"/>
      <c r="D43" s="41">
        <f t="shared" si="14"/>
        <v>0</v>
      </c>
      <c r="E43" s="38"/>
      <c r="F43" s="41">
        <f t="shared" si="15"/>
        <v>0</v>
      </c>
      <c r="G43" s="38"/>
      <c r="H43" s="41">
        <f t="shared" si="3"/>
        <v>0</v>
      </c>
    </row>
    <row r="44">
      <c r="A44" s="33" t="s">
        <v>79</v>
      </c>
      <c r="B44" s="40">
        <v>250.0</v>
      </c>
      <c r="C44" s="43">
        <v>8.0</v>
      </c>
      <c r="D44" s="41">
        <f t="shared" si="14"/>
        <v>2000</v>
      </c>
      <c r="E44" s="42">
        <v>32.0</v>
      </c>
      <c r="F44" s="41">
        <f t="shared" si="15"/>
        <v>8000</v>
      </c>
      <c r="G44" s="42">
        <v>32.0</v>
      </c>
      <c r="H44" s="41">
        <f t="shared" si="3"/>
        <v>8000</v>
      </c>
    </row>
    <row r="45">
      <c r="A45" s="33" t="s">
        <v>80</v>
      </c>
      <c r="B45" s="40">
        <v>180.0</v>
      </c>
      <c r="C45" s="42">
        <v>24.0</v>
      </c>
      <c r="D45" s="41">
        <f t="shared" si="14"/>
        <v>4320</v>
      </c>
      <c r="E45" s="42">
        <v>32.0</v>
      </c>
      <c r="F45" s="41">
        <f t="shared" si="15"/>
        <v>5760</v>
      </c>
      <c r="G45" s="42">
        <v>32.0</v>
      </c>
      <c r="H45" s="41">
        <f t="shared" si="3"/>
        <v>5760</v>
      </c>
    </row>
    <row r="46">
      <c r="A46" s="33" t="s">
        <v>81</v>
      </c>
      <c r="B46" s="40">
        <v>150.0</v>
      </c>
      <c r="C46" s="38"/>
      <c r="D46" s="41">
        <f t="shared" si="14"/>
        <v>0</v>
      </c>
      <c r="E46" s="38"/>
      <c r="F46" s="41">
        <f t="shared" si="15"/>
        <v>0</v>
      </c>
      <c r="G46" s="38"/>
      <c r="H46" s="41">
        <f t="shared" si="3"/>
        <v>0</v>
      </c>
    </row>
    <row r="47">
      <c r="A47" s="33" t="s">
        <v>82</v>
      </c>
      <c r="B47" s="40">
        <v>180.0</v>
      </c>
      <c r="C47" s="44"/>
      <c r="D47" s="41">
        <f t="shared" si="14"/>
        <v>0</v>
      </c>
      <c r="E47" s="38"/>
      <c r="F47" s="41">
        <f t="shared" si="15"/>
        <v>0</v>
      </c>
      <c r="G47" s="38"/>
      <c r="H47" s="41">
        <f t="shared" si="3"/>
        <v>0</v>
      </c>
    </row>
    <row r="48">
      <c r="A48" s="33"/>
      <c r="B48" s="37"/>
      <c r="C48" s="38"/>
      <c r="D48" s="39"/>
      <c r="E48" s="38"/>
      <c r="F48" s="39"/>
      <c r="G48" s="38"/>
      <c r="H48" s="41">
        <f t="shared" si="3"/>
        <v>0</v>
      </c>
    </row>
    <row r="49">
      <c r="A49" s="36" t="s">
        <v>83</v>
      </c>
      <c r="B49" s="37"/>
      <c r="C49" s="38"/>
      <c r="D49" s="39"/>
      <c r="E49" s="38"/>
      <c r="F49" s="39"/>
      <c r="G49" s="38"/>
      <c r="H49" s="41">
        <v>0.0</v>
      </c>
    </row>
    <row r="50">
      <c r="A50" s="51" t="s">
        <v>87</v>
      </c>
      <c r="B50" s="37"/>
      <c r="C50" s="38"/>
      <c r="D50" s="52">
        <f>E67</f>
        <v>164376</v>
      </c>
      <c r="E50" s="38"/>
      <c r="F50" s="39"/>
      <c r="G50" s="38"/>
      <c r="H50" s="41">
        <f t="shared" ref="H50:H51" si="16">B50*G50</f>
        <v>0</v>
      </c>
    </row>
    <row r="51">
      <c r="A51" s="33"/>
      <c r="B51" s="37"/>
      <c r="C51" s="38"/>
      <c r="D51" s="39"/>
      <c r="E51" s="38"/>
      <c r="F51" s="39"/>
      <c r="G51" s="38"/>
      <c r="H51" s="41">
        <f t="shared" si="16"/>
        <v>0</v>
      </c>
    </row>
    <row r="52">
      <c r="A52" s="33"/>
      <c r="B52" s="37"/>
      <c r="C52" s="38"/>
      <c r="D52" s="39"/>
      <c r="E52" s="38"/>
      <c r="F52" s="39"/>
      <c r="G52" s="33"/>
      <c r="H52" s="46"/>
    </row>
    <row r="53">
      <c r="A53" s="29" t="s">
        <v>85</v>
      </c>
      <c r="B53" s="37"/>
      <c r="C53" s="47">
        <f>SUM(C4:C52)</f>
        <v>312</v>
      </c>
      <c r="D53" s="48">
        <f>SUM(D3:D52)</f>
        <v>228016</v>
      </c>
      <c r="E53" s="47">
        <f>SUM(E4:E52)</f>
        <v>112</v>
      </c>
      <c r="F53" s="48">
        <f>SUM(F3:F52)</f>
        <v>26560</v>
      </c>
      <c r="G53" s="47">
        <f t="shared" ref="G53:H53" si="17">SUM(G4:G52)</f>
        <v>112</v>
      </c>
      <c r="H53" s="48">
        <f t="shared" si="17"/>
        <v>26560</v>
      </c>
    </row>
    <row r="55">
      <c r="A55" s="49" t="s">
        <v>88</v>
      </c>
      <c r="B55" s="50">
        <f>(D53-90000)+F53+H53</f>
        <v>191136</v>
      </c>
    </row>
    <row r="57">
      <c r="A57" s="53" t="s">
        <v>89</v>
      </c>
      <c r="B57" s="53" t="s">
        <v>90</v>
      </c>
      <c r="C57" s="53" t="s">
        <v>91</v>
      </c>
      <c r="D57" s="53" t="s">
        <v>92</v>
      </c>
      <c r="E57" s="53" t="s">
        <v>93</v>
      </c>
    </row>
    <row r="58">
      <c r="A58" s="53" t="s">
        <v>94</v>
      </c>
      <c r="B58" s="53">
        <v>1720.0</v>
      </c>
      <c r="C58" s="53">
        <v>8.0</v>
      </c>
      <c r="D58" s="54">
        <f t="shared" ref="D58:D59" si="18">B58*C58</f>
        <v>13760</v>
      </c>
      <c r="E58" s="55">
        <f t="shared" ref="E58:E65" si="19">D58*1.35</f>
        <v>18576</v>
      </c>
    </row>
    <row r="59">
      <c r="A59" s="53" t="s">
        <v>95</v>
      </c>
      <c r="B59" s="53">
        <v>3000.0</v>
      </c>
      <c r="C59" s="53">
        <v>6.0</v>
      </c>
      <c r="D59" s="54">
        <f t="shared" si="18"/>
        <v>18000</v>
      </c>
      <c r="E59" s="55">
        <f t="shared" si="19"/>
        <v>24300</v>
      </c>
    </row>
    <row r="60">
      <c r="A60" s="53" t="s">
        <v>96</v>
      </c>
      <c r="D60" s="56">
        <v>10000.0</v>
      </c>
      <c r="E60" s="55">
        <f t="shared" si="19"/>
        <v>13500</v>
      </c>
    </row>
    <row r="61">
      <c r="A61" s="53" t="s">
        <v>97</v>
      </c>
      <c r="D61" s="56">
        <v>10000.0</v>
      </c>
      <c r="E61" s="55">
        <f t="shared" si="19"/>
        <v>13500</v>
      </c>
    </row>
    <row r="62">
      <c r="A62" s="53" t="s">
        <v>98</v>
      </c>
      <c r="D62" s="56">
        <v>30000.0</v>
      </c>
      <c r="E62" s="55">
        <f t="shared" si="19"/>
        <v>40500</v>
      </c>
    </row>
    <row r="63">
      <c r="A63" s="53" t="s">
        <v>99</v>
      </c>
      <c r="D63" s="56">
        <v>5000.0</v>
      </c>
      <c r="E63" s="55">
        <f t="shared" si="19"/>
        <v>6750</v>
      </c>
    </row>
    <row r="64">
      <c r="A64" s="53" t="s">
        <v>100</v>
      </c>
      <c r="D64" s="56">
        <v>30000.0</v>
      </c>
      <c r="E64" s="55">
        <f t="shared" si="19"/>
        <v>40500</v>
      </c>
    </row>
    <row r="65">
      <c r="A65" s="53" t="s">
        <v>101</v>
      </c>
      <c r="D65" s="56">
        <v>5000.0</v>
      </c>
      <c r="E65" s="55">
        <f t="shared" si="19"/>
        <v>6750</v>
      </c>
    </row>
    <row r="66">
      <c r="D66" s="54"/>
      <c r="E66" s="55"/>
    </row>
    <row r="67">
      <c r="A67" s="53" t="s">
        <v>85</v>
      </c>
      <c r="D67" s="54">
        <f t="shared" ref="D67:E67" si="20">SUM(D58:D65)</f>
        <v>121760</v>
      </c>
      <c r="E67" s="55">
        <f t="shared" si="20"/>
        <v>164376</v>
      </c>
    </row>
  </sheetData>
  <mergeCells count="3">
    <mergeCell ref="C1:D1"/>
    <mergeCell ref="E1:F1"/>
    <mergeCell ref="G1:H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" t="s">
        <v>36</v>
      </c>
      <c r="B1" s="58" t="s">
        <v>37</v>
      </c>
      <c r="C1" s="59" t="s">
        <v>38</v>
      </c>
      <c r="E1" s="59" t="s">
        <v>39</v>
      </c>
      <c r="F1" s="32"/>
      <c r="G1" s="59" t="s">
        <v>40</v>
      </c>
      <c r="I1" s="5"/>
      <c r="J1" s="5"/>
      <c r="K1" s="5"/>
      <c r="L1" s="5"/>
      <c r="M1" s="5"/>
      <c r="N1" s="5"/>
      <c r="O1" s="5"/>
    </row>
    <row r="2">
      <c r="A2" s="60"/>
      <c r="B2" s="58" t="s">
        <v>41</v>
      </c>
      <c r="C2" s="61" t="s">
        <v>42</v>
      </c>
      <c r="D2" s="62" t="s">
        <v>43</v>
      </c>
      <c r="E2" s="61" t="s">
        <v>42</v>
      </c>
      <c r="F2" s="62" t="s">
        <v>43</v>
      </c>
      <c r="G2" s="61" t="s">
        <v>42</v>
      </c>
      <c r="H2" s="62" t="s">
        <v>43</v>
      </c>
      <c r="I2" s="5"/>
      <c r="J2" s="5"/>
      <c r="K2" s="5"/>
      <c r="L2" s="5"/>
      <c r="M2" s="5"/>
      <c r="N2" s="5"/>
      <c r="O2" s="5"/>
    </row>
    <row r="3">
      <c r="A3" s="63" t="s">
        <v>44</v>
      </c>
      <c r="B3" s="64"/>
      <c r="C3" s="65"/>
      <c r="D3" s="66"/>
      <c r="E3" s="65"/>
      <c r="F3" s="66"/>
      <c r="G3" s="65"/>
      <c r="H3" s="66"/>
      <c r="I3" s="5"/>
      <c r="J3" s="5"/>
      <c r="K3" s="5"/>
      <c r="L3" s="5"/>
      <c r="M3" s="5"/>
      <c r="N3" s="5"/>
      <c r="O3" s="5"/>
    </row>
    <row r="4">
      <c r="A4" s="60" t="s">
        <v>45</v>
      </c>
      <c r="B4" s="67">
        <v>450.0</v>
      </c>
      <c r="C4" s="65"/>
      <c r="D4" s="68">
        <f t="shared" ref="D4:D9" si="1">B4*C4</f>
        <v>0</v>
      </c>
      <c r="E4" s="65"/>
      <c r="F4" s="68">
        <f t="shared" ref="F4:F9" si="2">B4*E4</f>
        <v>0</v>
      </c>
      <c r="G4" s="65"/>
      <c r="H4" s="68">
        <f t="shared" ref="H4:H48" si="3">B4*G4</f>
        <v>0</v>
      </c>
      <c r="I4" s="5"/>
      <c r="J4" s="5"/>
      <c r="K4" s="5"/>
      <c r="L4" s="5"/>
      <c r="M4" s="5"/>
      <c r="N4" s="5"/>
      <c r="O4" s="5"/>
    </row>
    <row r="5">
      <c r="A5" s="60" t="s">
        <v>46</v>
      </c>
      <c r="B5" s="67">
        <v>350.0</v>
      </c>
      <c r="C5" s="65"/>
      <c r="D5" s="68">
        <f t="shared" si="1"/>
        <v>0</v>
      </c>
      <c r="E5" s="65"/>
      <c r="F5" s="68">
        <f t="shared" si="2"/>
        <v>0</v>
      </c>
      <c r="G5" s="65"/>
      <c r="H5" s="68">
        <f t="shared" si="3"/>
        <v>0</v>
      </c>
      <c r="I5" s="5"/>
      <c r="J5" s="5"/>
      <c r="K5" s="5"/>
      <c r="L5" s="5"/>
      <c r="M5" s="5"/>
      <c r="N5" s="5"/>
      <c r="O5" s="5"/>
    </row>
    <row r="6">
      <c r="A6" s="60" t="s">
        <v>47</v>
      </c>
      <c r="B6" s="67">
        <v>250.0</v>
      </c>
      <c r="C6" s="65"/>
      <c r="D6" s="68">
        <f t="shared" si="1"/>
        <v>0</v>
      </c>
      <c r="E6" s="69"/>
      <c r="F6" s="68">
        <f t="shared" si="2"/>
        <v>0</v>
      </c>
      <c r="G6" s="65"/>
      <c r="H6" s="68">
        <f t="shared" si="3"/>
        <v>0</v>
      </c>
      <c r="I6" s="5"/>
      <c r="J6" s="5"/>
      <c r="K6" s="5"/>
      <c r="L6" s="5"/>
      <c r="M6" s="5"/>
      <c r="N6" s="5"/>
      <c r="O6" s="5"/>
    </row>
    <row r="7">
      <c r="A7" s="60" t="s">
        <v>48</v>
      </c>
      <c r="B7" s="67">
        <v>200.0</v>
      </c>
      <c r="C7" s="65"/>
      <c r="D7" s="68">
        <f t="shared" si="1"/>
        <v>0</v>
      </c>
      <c r="E7" s="65"/>
      <c r="F7" s="68">
        <f t="shared" si="2"/>
        <v>0</v>
      </c>
      <c r="G7" s="65"/>
      <c r="H7" s="68">
        <f t="shared" si="3"/>
        <v>0</v>
      </c>
      <c r="I7" s="5"/>
      <c r="J7" s="5"/>
      <c r="K7" s="5"/>
      <c r="L7" s="5"/>
      <c r="M7" s="5"/>
      <c r="N7" s="5"/>
      <c r="O7" s="5"/>
    </row>
    <row r="8">
      <c r="A8" s="60" t="s">
        <v>49</v>
      </c>
      <c r="B8" s="67">
        <v>200.0</v>
      </c>
      <c r="C8" s="70">
        <v>8.0</v>
      </c>
      <c r="D8" s="68">
        <f t="shared" si="1"/>
        <v>1600</v>
      </c>
      <c r="E8" s="70">
        <v>12.0</v>
      </c>
      <c r="F8" s="68">
        <f t="shared" si="2"/>
        <v>2400</v>
      </c>
      <c r="G8" s="70">
        <v>16.0</v>
      </c>
      <c r="H8" s="68">
        <f t="shared" si="3"/>
        <v>3200</v>
      </c>
      <c r="I8" s="5"/>
      <c r="J8" s="5"/>
      <c r="K8" s="5"/>
      <c r="L8" s="5"/>
      <c r="M8" s="5"/>
      <c r="N8" s="5"/>
      <c r="O8" s="5"/>
    </row>
    <row r="9">
      <c r="A9" s="60" t="s">
        <v>50</v>
      </c>
      <c r="B9" s="67">
        <v>200.0</v>
      </c>
      <c r="C9" s="70">
        <v>8.0</v>
      </c>
      <c r="D9" s="68">
        <f t="shared" si="1"/>
        <v>1600</v>
      </c>
      <c r="E9" s="71">
        <v>12.0</v>
      </c>
      <c r="F9" s="68">
        <f t="shared" si="2"/>
        <v>2400</v>
      </c>
      <c r="G9" s="70">
        <v>16.0</v>
      </c>
      <c r="H9" s="68">
        <f t="shared" si="3"/>
        <v>3200</v>
      </c>
      <c r="I9" s="5"/>
      <c r="J9" s="5"/>
      <c r="K9" s="5"/>
      <c r="L9" s="5"/>
      <c r="M9" s="5"/>
      <c r="N9" s="5"/>
      <c r="O9" s="5"/>
    </row>
    <row r="10">
      <c r="A10" s="60"/>
      <c r="B10" s="64"/>
      <c r="C10" s="65"/>
      <c r="D10" s="66"/>
      <c r="E10" s="65"/>
      <c r="F10" s="66"/>
      <c r="G10" s="65"/>
      <c r="H10" s="68">
        <f t="shared" si="3"/>
        <v>0</v>
      </c>
      <c r="I10" s="5"/>
      <c r="J10" s="5"/>
      <c r="K10" s="5"/>
      <c r="L10" s="5"/>
      <c r="M10" s="5"/>
      <c r="N10" s="5"/>
      <c r="O10" s="5"/>
    </row>
    <row r="11">
      <c r="A11" s="63" t="s">
        <v>51</v>
      </c>
      <c r="B11" s="64"/>
      <c r="C11" s="65"/>
      <c r="D11" s="66"/>
      <c r="E11" s="65"/>
      <c r="F11" s="66"/>
      <c r="G11" s="65"/>
      <c r="H11" s="68">
        <f t="shared" si="3"/>
        <v>0</v>
      </c>
      <c r="I11" s="5"/>
      <c r="J11" s="5"/>
      <c r="K11" s="5"/>
      <c r="L11" s="5"/>
      <c r="M11" s="5"/>
      <c r="N11" s="5"/>
      <c r="O11" s="5"/>
    </row>
    <row r="12">
      <c r="A12" s="60" t="s">
        <v>52</v>
      </c>
      <c r="B12" s="67">
        <v>250.0</v>
      </c>
      <c r="C12" s="65"/>
      <c r="D12" s="68">
        <f t="shared" ref="D12:D15" si="4">B12*C12</f>
        <v>0</v>
      </c>
      <c r="E12" s="65"/>
      <c r="F12" s="68">
        <f t="shared" ref="F12:F15" si="5">B12*E12</f>
        <v>0</v>
      </c>
      <c r="G12" s="65"/>
      <c r="H12" s="68">
        <f t="shared" si="3"/>
        <v>0</v>
      </c>
      <c r="I12" s="5"/>
      <c r="J12" s="5"/>
      <c r="K12" s="5"/>
      <c r="L12" s="5"/>
      <c r="M12" s="5"/>
      <c r="N12" s="5"/>
      <c r="O12" s="5"/>
    </row>
    <row r="13">
      <c r="A13" s="60" t="s">
        <v>53</v>
      </c>
      <c r="B13" s="67">
        <v>180.0</v>
      </c>
      <c r="C13" s="65"/>
      <c r="D13" s="68">
        <f t="shared" si="4"/>
        <v>0</v>
      </c>
      <c r="E13" s="65"/>
      <c r="F13" s="68">
        <f t="shared" si="5"/>
        <v>0</v>
      </c>
      <c r="G13" s="65"/>
      <c r="H13" s="68">
        <f t="shared" si="3"/>
        <v>0</v>
      </c>
      <c r="I13" s="5"/>
      <c r="J13" s="5"/>
      <c r="K13" s="5"/>
      <c r="L13" s="5"/>
      <c r="M13" s="5"/>
      <c r="N13" s="5"/>
      <c r="O13" s="5"/>
    </row>
    <row r="14">
      <c r="A14" s="60" t="s">
        <v>54</v>
      </c>
      <c r="B14" s="67">
        <v>150.0</v>
      </c>
      <c r="C14" s="65"/>
      <c r="D14" s="68">
        <f t="shared" si="4"/>
        <v>0</v>
      </c>
      <c r="E14" s="65"/>
      <c r="F14" s="68">
        <f t="shared" si="5"/>
        <v>0</v>
      </c>
      <c r="G14" s="65"/>
      <c r="H14" s="68">
        <f t="shared" si="3"/>
        <v>0</v>
      </c>
      <c r="I14" s="5"/>
      <c r="J14" s="5"/>
      <c r="K14" s="5"/>
      <c r="L14" s="5"/>
      <c r="M14" s="5"/>
      <c r="N14" s="5"/>
      <c r="O14" s="5"/>
    </row>
    <row r="15">
      <c r="A15" s="60" t="s">
        <v>55</v>
      </c>
      <c r="B15" s="67">
        <v>120.0</v>
      </c>
      <c r="C15" s="65"/>
      <c r="D15" s="68">
        <f t="shared" si="4"/>
        <v>0</v>
      </c>
      <c r="E15" s="65"/>
      <c r="F15" s="68">
        <f t="shared" si="5"/>
        <v>0</v>
      </c>
      <c r="G15" s="65"/>
      <c r="H15" s="68">
        <f t="shared" si="3"/>
        <v>0</v>
      </c>
      <c r="I15" s="5"/>
      <c r="J15" s="5"/>
      <c r="K15" s="5"/>
      <c r="L15" s="5"/>
      <c r="M15" s="5"/>
      <c r="N15" s="5"/>
      <c r="O15" s="5"/>
    </row>
    <row r="16">
      <c r="A16" s="60"/>
      <c r="B16" s="64"/>
      <c r="C16" s="65"/>
      <c r="D16" s="66"/>
      <c r="E16" s="65"/>
      <c r="F16" s="66"/>
      <c r="G16" s="65"/>
      <c r="H16" s="68">
        <f t="shared" si="3"/>
        <v>0</v>
      </c>
      <c r="I16" s="5"/>
      <c r="J16" s="5"/>
      <c r="K16" s="5"/>
      <c r="L16" s="5"/>
      <c r="M16" s="5"/>
      <c r="N16" s="5"/>
      <c r="O16" s="5"/>
    </row>
    <row r="17">
      <c r="A17" s="63" t="s">
        <v>56</v>
      </c>
      <c r="B17" s="64"/>
      <c r="C17" s="65"/>
      <c r="D17" s="66"/>
      <c r="E17" s="65"/>
      <c r="F17" s="66"/>
      <c r="G17" s="65"/>
      <c r="H17" s="68">
        <f t="shared" si="3"/>
        <v>0</v>
      </c>
      <c r="I17" s="5"/>
      <c r="J17" s="5"/>
      <c r="K17" s="5"/>
      <c r="L17" s="5"/>
      <c r="M17" s="5"/>
      <c r="N17" s="5"/>
      <c r="O17" s="5"/>
    </row>
    <row r="18">
      <c r="A18" s="60" t="s">
        <v>57</v>
      </c>
      <c r="B18" s="67">
        <v>200.0</v>
      </c>
      <c r="C18" s="65"/>
      <c r="D18" s="68">
        <f t="shared" ref="D18:D20" si="6">B18*C18</f>
        <v>0</v>
      </c>
      <c r="E18" s="65"/>
      <c r="F18" s="68">
        <f t="shared" ref="F18:F20" si="7">B18*E18</f>
        <v>0</v>
      </c>
      <c r="G18" s="65"/>
      <c r="H18" s="68">
        <f t="shared" si="3"/>
        <v>0</v>
      </c>
      <c r="I18" s="5"/>
      <c r="J18" s="5"/>
      <c r="K18" s="5"/>
      <c r="L18" s="5"/>
      <c r="M18" s="5"/>
      <c r="N18" s="5"/>
      <c r="O18" s="5"/>
    </row>
    <row r="19">
      <c r="A19" s="60" t="s">
        <v>58</v>
      </c>
      <c r="B19" s="67">
        <v>200.0</v>
      </c>
      <c r="C19" s="65"/>
      <c r="D19" s="68">
        <f t="shared" si="6"/>
        <v>0</v>
      </c>
      <c r="E19" s="65"/>
      <c r="F19" s="68">
        <f t="shared" si="7"/>
        <v>0</v>
      </c>
      <c r="G19" s="65"/>
      <c r="H19" s="68">
        <f t="shared" si="3"/>
        <v>0</v>
      </c>
      <c r="I19" s="5"/>
      <c r="J19" s="5"/>
      <c r="K19" s="5"/>
      <c r="L19" s="5"/>
      <c r="M19" s="5"/>
      <c r="N19" s="5"/>
      <c r="O19" s="5"/>
    </row>
    <row r="20">
      <c r="A20" s="60" t="s">
        <v>59</v>
      </c>
      <c r="B20" s="67">
        <v>100.0</v>
      </c>
      <c r="C20" s="65"/>
      <c r="D20" s="68">
        <f t="shared" si="6"/>
        <v>0</v>
      </c>
      <c r="E20" s="65"/>
      <c r="F20" s="68">
        <f t="shared" si="7"/>
        <v>0</v>
      </c>
      <c r="G20" s="65"/>
      <c r="H20" s="68">
        <f t="shared" si="3"/>
        <v>0</v>
      </c>
      <c r="I20" s="5"/>
      <c r="J20" s="5"/>
      <c r="K20" s="5"/>
      <c r="L20" s="5"/>
      <c r="M20" s="5"/>
      <c r="N20" s="5"/>
      <c r="O20" s="5"/>
    </row>
    <row r="21">
      <c r="A21" s="60"/>
      <c r="B21" s="64"/>
      <c r="C21" s="65"/>
      <c r="D21" s="66"/>
      <c r="E21" s="65"/>
      <c r="F21" s="66"/>
      <c r="G21" s="65"/>
      <c r="H21" s="68">
        <f t="shared" si="3"/>
        <v>0</v>
      </c>
      <c r="I21" s="5"/>
      <c r="J21" s="5"/>
      <c r="K21" s="5"/>
      <c r="L21" s="5"/>
      <c r="M21" s="5"/>
      <c r="N21" s="5"/>
      <c r="O21" s="5"/>
    </row>
    <row r="22">
      <c r="A22" s="63" t="s">
        <v>60</v>
      </c>
      <c r="B22" s="64"/>
      <c r="C22" s="65"/>
      <c r="D22" s="66"/>
      <c r="E22" s="65"/>
      <c r="F22" s="66"/>
      <c r="G22" s="65"/>
      <c r="H22" s="68">
        <f t="shared" si="3"/>
        <v>0</v>
      </c>
      <c r="I22" s="5"/>
      <c r="J22" s="5"/>
      <c r="K22" s="5"/>
      <c r="L22" s="5"/>
      <c r="M22" s="5"/>
      <c r="N22" s="5"/>
      <c r="O22" s="5"/>
    </row>
    <row r="23">
      <c r="A23" s="60" t="s">
        <v>61</v>
      </c>
      <c r="B23" s="67">
        <v>350.0</v>
      </c>
      <c r="C23" s="65"/>
      <c r="D23" s="68">
        <f t="shared" ref="D23:D28" si="8">B23*C23</f>
        <v>0</v>
      </c>
      <c r="E23" s="65"/>
      <c r="F23" s="68">
        <f t="shared" ref="F23:F28" si="9">B23*E23</f>
        <v>0</v>
      </c>
      <c r="G23" s="65"/>
      <c r="H23" s="68">
        <f t="shared" si="3"/>
        <v>0</v>
      </c>
      <c r="I23" s="5"/>
      <c r="J23" s="5"/>
      <c r="K23" s="5"/>
      <c r="L23" s="5"/>
      <c r="M23" s="5"/>
      <c r="N23" s="5"/>
      <c r="O23" s="5"/>
    </row>
    <row r="24">
      <c r="A24" s="60" t="s">
        <v>62</v>
      </c>
      <c r="B24" s="67">
        <v>225.0</v>
      </c>
      <c r="C24" s="65"/>
      <c r="D24" s="68">
        <f t="shared" si="8"/>
        <v>0</v>
      </c>
      <c r="E24" s="65"/>
      <c r="F24" s="68">
        <f t="shared" si="9"/>
        <v>0</v>
      </c>
      <c r="G24" s="65"/>
      <c r="H24" s="68">
        <f t="shared" si="3"/>
        <v>0</v>
      </c>
      <c r="I24" s="5"/>
      <c r="J24" s="5"/>
      <c r="K24" s="5"/>
      <c r="L24" s="5"/>
      <c r="M24" s="5"/>
      <c r="N24" s="5"/>
      <c r="O24" s="5"/>
    </row>
    <row r="25">
      <c r="A25" s="60" t="s">
        <v>63</v>
      </c>
      <c r="B25" s="67">
        <v>180.0</v>
      </c>
      <c r="C25" s="65"/>
      <c r="D25" s="68">
        <f t="shared" si="8"/>
        <v>0</v>
      </c>
      <c r="E25" s="65"/>
      <c r="F25" s="68">
        <f t="shared" si="9"/>
        <v>0</v>
      </c>
      <c r="G25" s="65"/>
      <c r="H25" s="68">
        <f t="shared" si="3"/>
        <v>0</v>
      </c>
      <c r="I25" s="5"/>
      <c r="J25" s="5"/>
      <c r="K25" s="5"/>
      <c r="L25" s="5"/>
      <c r="M25" s="5"/>
      <c r="N25" s="5"/>
      <c r="O25" s="5"/>
    </row>
    <row r="26">
      <c r="A26" s="60" t="s">
        <v>64</v>
      </c>
      <c r="B26" s="67">
        <v>150.0</v>
      </c>
      <c r="C26" s="65"/>
      <c r="D26" s="68">
        <f t="shared" si="8"/>
        <v>0</v>
      </c>
      <c r="E26" s="65"/>
      <c r="F26" s="68">
        <f t="shared" si="9"/>
        <v>0</v>
      </c>
      <c r="G26" s="65"/>
      <c r="H26" s="68">
        <f t="shared" si="3"/>
        <v>0</v>
      </c>
      <c r="I26" s="5"/>
      <c r="J26" s="5"/>
      <c r="K26" s="5"/>
      <c r="L26" s="5"/>
      <c r="M26" s="5"/>
      <c r="N26" s="5"/>
      <c r="O26" s="5"/>
    </row>
    <row r="27">
      <c r="A27" s="60" t="s">
        <v>65</v>
      </c>
      <c r="B27" s="67">
        <v>180.0</v>
      </c>
      <c r="C27" s="65"/>
      <c r="D27" s="68">
        <f t="shared" si="8"/>
        <v>0</v>
      </c>
      <c r="E27" s="65"/>
      <c r="F27" s="68">
        <f t="shared" si="9"/>
        <v>0</v>
      </c>
      <c r="G27" s="65"/>
      <c r="H27" s="68">
        <f t="shared" si="3"/>
        <v>0</v>
      </c>
      <c r="I27" s="5"/>
      <c r="J27" s="5"/>
      <c r="K27" s="5"/>
      <c r="L27" s="5"/>
      <c r="M27" s="5"/>
      <c r="N27" s="5"/>
      <c r="O27" s="5"/>
    </row>
    <row r="28">
      <c r="A28" s="60" t="s">
        <v>66</v>
      </c>
      <c r="B28" s="67">
        <v>200.0</v>
      </c>
      <c r="C28" s="65"/>
      <c r="D28" s="68">
        <f t="shared" si="8"/>
        <v>0</v>
      </c>
      <c r="E28" s="65"/>
      <c r="F28" s="68">
        <f t="shared" si="9"/>
        <v>0</v>
      </c>
      <c r="G28" s="65"/>
      <c r="H28" s="68">
        <f t="shared" si="3"/>
        <v>0</v>
      </c>
      <c r="I28" s="5"/>
      <c r="J28" s="5"/>
      <c r="K28" s="5"/>
      <c r="L28" s="5"/>
      <c r="M28" s="5"/>
      <c r="N28" s="5"/>
      <c r="O28" s="5"/>
    </row>
    <row r="29">
      <c r="A29" s="60"/>
      <c r="B29" s="64"/>
      <c r="C29" s="65"/>
      <c r="D29" s="66"/>
      <c r="E29" s="65"/>
      <c r="F29" s="66"/>
      <c r="G29" s="65"/>
      <c r="H29" s="68">
        <f t="shared" si="3"/>
        <v>0</v>
      </c>
      <c r="I29" s="5"/>
      <c r="J29" s="5"/>
      <c r="K29" s="5"/>
      <c r="L29" s="5"/>
      <c r="M29" s="5"/>
      <c r="N29" s="5"/>
      <c r="O29" s="5"/>
    </row>
    <row r="30">
      <c r="A30" s="63" t="s">
        <v>67</v>
      </c>
      <c r="B30" s="64"/>
      <c r="C30" s="65"/>
      <c r="D30" s="66"/>
      <c r="E30" s="65"/>
      <c r="F30" s="66"/>
      <c r="G30" s="65"/>
      <c r="H30" s="68">
        <f t="shared" si="3"/>
        <v>0</v>
      </c>
      <c r="I30" s="5"/>
      <c r="J30" s="5"/>
      <c r="K30" s="5"/>
      <c r="L30" s="5"/>
      <c r="M30" s="5"/>
      <c r="N30" s="5"/>
      <c r="O30" s="5"/>
    </row>
    <row r="31">
      <c r="A31" s="60" t="s">
        <v>68</v>
      </c>
      <c r="B31" s="67">
        <v>250.0</v>
      </c>
      <c r="C31" s="65"/>
      <c r="D31" s="68">
        <f t="shared" ref="D31:D32" si="10">B31*C31</f>
        <v>0</v>
      </c>
      <c r="E31" s="65"/>
      <c r="F31" s="68">
        <f t="shared" ref="F31:F32" si="11">B31*E31</f>
        <v>0</v>
      </c>
      <c r="G31" s="65"/>
      <c r="H31" s="68">
        <f t="shared" si="3"/>
        <v>0</v>
      </c>
      <c r="I31" s="5"/>
      <c r="J31" s="5"/>
      <c r="K31" s="5"/>
      <c r="L31" s="5"/>
      <c r="M31" s="5"/>
      <c r="N31" s="5"/>
      <c r="O31" s="5"/>
    </row>
    <row r="32">
      <c r="A32" s="60" t="s">
        <v>69</v>
      </c>
      <c r="B32" s="67">
        <v>180.0</v>
      </c>
      <c r="C32" s="65"/>
      <c r="D32" s="68">
        <f t="shared" si="10"/>
        <v>0</v>
      </c>
      <c r="E32" s="65"/>
      <c r="F32" s="68">
        <f t="shared" si="11"/>
        <v>0</v>
      </c>
      <c r="G32" s="65"/>
      <c r="H32" s="68">
        <f t="shared" si="3"/>
        <v>0</v>
      </c>
      <c r="I32" s="5"/>
      <c r="J32" s="5"/>
      <c r="K32" s="5"/>
      <c r="L32" s="5"/>
      <c r="M32" s="5"/>
      <c r="N32" s="5"/>
      <c r="O32" s="5"/>
    </row>
    <row r="33">
      <c r="A33" s="60"/>
      <c r="B33" s="64"/>
      <c r="C33" s="65"/>
      <c r="D33" s="66"/>
      <c r="E33" s="65"/>
      <c r="F33" s="66"/>
      <c r="G33" s="65"/>
      <c r="H33" s="68">
        <f t="shared" si="3"/>
        <v>0</v>
      </c>
      <c r="I33" s="5"/>
      <c r="J33" s="5"/>
      <c r="K33" s="5"/>
      <c r="L33" s="5"/>
      <c r="M33" s="5"/>
      <c r="N33" s="5"/>
      <c r="O33" s="5"/>
    </row>
    <row r="34">
      <c r="A34" s="63" t="s">
        <v>70</v>
      </c>
      <c r="B34" s="64"/>
      <c r="C34" s="65"/>
      <c r="D34" s="66"/>
      <c r="E34" s="65"/>
      <c r="F34" s="66"/>
      <c r="G34" s="65"/>
      <c r="H34" s="68">
        <f t="shared" si="3"/>
        <v>0</v>
      </c>
      <c r="I34" s="5"/>
      <c r="J34" s="5"/>
      <c r="K34" s="5"/>
      <c r="L34" s="5"/>
      <c r="M34" s="5"/>
      <c r="N34" s="5"/>
      <c r="O34" s="5"/>
    </row>
    <row r="35">
      <c r="A35" s="60" t="s">
        <v>71</v>
      </c>
      <c r="B35" s="67">
        <v>250.0</v>
      </c>
      <c r="C35" s="69"/>
      <c r="D35" s="68">
        <f t="shared" ref="D35:D39" si="12">B35*C35</f>
        <v>0</v>
      </c>
      <c r="E35" s="69"/>
      <c r="F35" s="68">
        <f t="shared" ref="F35:F39" si="13">B35*E35</f>
        <v>0</v>
      </c>
      <c r="G35" s="65"/>
      <c r="H35" s="68">
        <f t="shared" si="3"/>
        <v>0</v>
      </c>
      <c r="I35" s="5"/>
      <c r="J35" s="5"/>
      <c r="K35" s="5"/>
      <c r="L35" s="5"/>
      <c r="M35" s="5"/>
      <c r="N35" s="5"/>
      <c r="O35" s="5"/>
    </row>
    <row r="36">
      <c r="A36" s="60" t="s">
        <v>72</v>
      </c>
      <c r="B36" s="67">
        <v>200.0</v>
      </c>
      <c r="C36" s="70">
        <v>2.0</v>
      </c>
      <c r="D36" s="68">
        <f t="shared" si="12"/>
        <v>400</v>
      </c>
      <c r="E36" s="65"/>
      <c r="F36" s="68">
        <f t="shared" si="13"/>
        <v>0</v>
      </c>
      <c r="G36" s="65"/>
      <c r="H36" s="68">
        <f t="shared" si="3"/>
        <v>0</v>
      </c>
      <c r="I36" s="5"/>
      <c r="J36" s="5"/>
      <c r="K36" s="5"/>
      <c r="L36" s="5"/>
      <c r="M36" s="5"/>
      <c r="N36" s="5"/>
      <c r="O36" s="5"/>
    </row>
    <row r="37">
      <c r="A37" s="60" t="s">
        <v>73</v>
      </c>
      <c r="B37" s="67">
        <v>180.0</v>
      </c>
      <c r="C37" s="65"/>
      <c r="D37" s="68">
        <f t="shared" si="12"/>
        <v>0</v>
      </c>
      <c r="E37" s="69"/>
      <c r="F37" s="68">
        <f t="shared" si="13"/>
        <v>0</v>
      </c>
      <c r="G37" s="65"/>
      <c r="H37" s="68">
        <f t="shared" si="3"/>
        <v>0</v>
      </c>
      <c r="I37" s="5"/>
      <c r="J37" s="5"/>
      <c r="K37" s="5"/>
      <c r="L37" s="5"/>
      <c r="M37" s="5"/>
      <c r="N37" s="5"/>
      <c r="O37" s="5"/>
    </row>
    <row r="38">
      <c r="A38" s="60" t="s">
        <v>74</v>
      </c>
      <c r="B38" s="67">
        <v>150.0</v>
      </c>
      <c r="C38" s="69"/>
      <c r="D38" s="68">
        <f t="shared" si="12"/>
        <v>0</v>
      </c>
      <c r="E38" s="65"/>
      <c r="F38" s="68">
        <f t="shared" si="13"/>
        <v>0</v>
      </c>
      <c r="G38" s="65"/>
      <c r="H38" s="68">
        <f t="shared" si="3"/>
        <v>0</v>
      </c>
      <c r="I38" s="5"/>
      <c r="J38" s="5"/>
      <c r="K38" s="5"/>
      <c r="L38" s="5"/>
      <c r="M38" s="5"/>
      <c r="N38" s="5"/>
      <c r="O38" s="5"/>
    </row>
    <row r="39">
      <c r="A39" s="72" t="s">
        <v>75</v>
      </c>
      <c r="B39" s="67">
        <v>120.0</v>
      </c>
      <c r="C39" s="65"/>
      <c r="D39" s="68">
        <f t="shared" si="12"/>
        <v>0</v>
      </c>
      <c r="E39" s="65"/>
      <c r="F39" s="68">
        <f t="shared" si="13"/>
        <v>0</v>
      </c>
      <c r="G39" s="65"/>
      <c r="H39" s="68">
        <f t="shared" si="3"/>
        <v>0</v>
      </c>
      <c r="I39" s="5"/>
      <c r="J39" s="5"/>
      <c r="K39" s="5"/>
      <c r="L39" s="5"/>
      <c r="M39" s="5"/>
      <c r="N39" s="5"/>
      <c r="O39" s="5"/>
    </row>
    <row r="40">
      <c r="A40" s="60"/>
      <c r="B40" s="64"/>
      <c r="C40" s="65"/>
      <c r="D40" s="66"/>
      <c r="E40" s="65"/>
      <c r="F40" s="66"/>
      <c r="G40" s="65"/>
      <c r="H40" s="68">
        <f t="shared" si="3"/>
        <v>0</v>
      </c>
      <c r="I40" s="5"/>
      <c r="J40" s="5"/>
      <c r="K40" s="5"/>
      <c r="L40" s="5"/>
      <c r="M40" s="5"/>
      <c r="N40" s="5"/>
      <c r="O40" s="5"/>
    </row>
    <row r="41">
      <c r="A41" s="63" t="s">
        <v>76</v>
      </c>
      <c r="B41" s="64"/>
      <c r="C41" s="65"/>
      <c r="D41" s="66"/>
      <c r="E41" s="65"/>
      <c r="F41" s="66"/>
      <c r="G41" s="65"/>
      <c r="H41" s="68">
        <f t="shared" si="3"/>
        <v>0</v>
      </c>
      <c r="I41" s="5"/>
      <c r="J41" s="5"/>
      <c r="K41" s="5"/>
      <c r="L41" s="5"/>
      <c r="M41" s="5"/>
      <c r="N41" s="5"/>
      <c r="O41" s="5"/>
    </row>
    <row r="42">
      <c r="A42" s="60" t="s">
        <v>77</v>
      </c>
      <c r="B42" s="67">
        <v>450.0</v>
      </c>
      <c r="C42" s="70">
        <v>8.0</v>
      </c>
      <c r="D42" s="68">
        <f t="shared" ref="D42:D47" si="14">B42*C42</f>
        <v>3600</v>
      </c>
      <c r="E42" s="70">
        <v>12.0</v>
      </c>
      <c r="F42" s="68">
        <f t="shared" ref="F42:F47" si="15">B42*E42</f>
        <v>5400</v>
      </c>
      <c r="G42" s="70">
        <v>16.0</v>
      </c>
      <c r="H42" s="68">
        <f t="shared" si="3"/>
        <v>7200</v>
      </c>
      <c r="I42" s="5"/>
      <c r="J42" s="5"/>
      <c r="K42" s="5"/>
      <c r="L42" s="5"/>
      <c r="M42" s="5"/>
      <c r="N42" s="5"/>
      <c r="O42" s="5"/>
    </row>
    <row r="43">
      <c r="A43" s="60" t="s">
        <v>78</v>
      </c>
      <c r="B43" s="67">
        <v>225.0</v>
      </c>
      <c r="C43" s="65"/>
      <c r="D43" s="68">
        <f t="shared" si="14"/>
        <v>0</v>
      </c>
      <c r="E43" s="65"/>
      <c r="F43" s="68">
        <f t="shared" si="15"/>
        <v>0</v>
      </c>
      <c r="G43" s="65"/>
      <c r="H43" s="68">
        <f t="shared" si="3"/>
        <v>0</v>
      </c>
      <c r="I43" s="5"/>
      <c r="J43" s="5"/>
      <c r="K43" s="5"/>
      <c r="L43" s="5"/>
      <c r="M43" s="5"/>
      <c r="N43" s="5"/>
      <c r="O43" s="5"/>
    </row>
    <row r="44">
      <c r="A44" s="60" t="s">
        <v>79</v>
      </c>
      <c r="B44" s="67">
        <v>250.0</v>
      </c>
      <c r="C44" s="69"/>
      <c r="D44" s="68">
        <f t="shared" si="14"/>
        <v>0</v>
      </c>
      <c r="E44" s="65"/>
      <c r="F44" s="68">
        <f t="shared" si="15"/>
        <v>0</v>
      </c>
      <c r="G44" s="65"/>
      <c r="H44" s="68">
        <f t="shared" si="3"/>
        <v>0</v>
      </c>
      <c r="I44" s="5"/>
      <c r="J44" s="5"/>
      <c r="K44" s="5"/>
      <c r="L44" s="5"/>
      <c r="M44" s="5"/>
      <c r="N44" s="5"/>
      <c r="O44" s="5"/>
    </row>
    <row r="45">
      <c r="A45" s="60" t="s">
        <v>80</v>
      </c>
      <c r="B45" s="67">
        <v>180.0</v>
      </c>
      <c r="C45" s="70">
        <v>4.0</v>
      </c>
      <c r="D45" s="68">
        <f t="shared" si="14"/>
        <v>720</v>
      </c>
      <c r="E45" s="70">
        <v>8.0</v>
      </c>
      <c r="F45" s="68">
        <f t="shared" si="15"/>
        <v>1440</v>
      </c>
      <c r="G45" s="70">
        <v>12.0</v>
      </c>
      <c r="H45" s="68">
        <f t="shared" si="3"/>
        <v>2160</v>
      </c>
      <c r="I45" s="5"/>
      <c r="J45" s="5"/>
      <c r="K45" s="5"/>
      <c r="L45" s="5"/>
      <c r="M45" s="5"/>
      <c r="N45" s="5"/>
      <c r="O45" s="5"/>
    </row>
    <row r="46">
      <c r="A46" s="60" t="s">
        <v>81</v>
      </c>
      <c r="B46" s="67">
        <v>150.0</v>
      </c>
      <c r="C46" s="65"/>
      <c r="D46" s="68">
        <f t="shared" si="14"/>
        <v>0</v>
      </c>
      <c r="E46" s="65"/>
      <c r="F46" s="68">
        <f t="shared" si="15"/>
        <v>0</v>
      </c>
      <c r="G46" s="65"/>
      <c r="H46" s="68">
        <f t="shared" si="3"/>
        <v>0</v>
      </c>
      <c r="I46" s="5"/>
      <c r="J46" s="5"/>
      <c r="K46" s="5"/>
      <c r="L46" s="5"/>
      <c r="M46" s="5"/>
      <c r="N46" s="5"/>
      <c r="O46" s="5"/>
    </row>
    <row r="47">
      <c r="A47" s="60" t="s">
        <v>82</v>
      </c>
      <c r="B47" s="67">
        <v>180.0</v>
      </c>
      <c r="C47" s="69"/>
      <c r="D47" s="68">
        <f t="shared" si="14"/>
        <v>0</v>
      </c>
      <c r="E47" s="65"/>
      <c r="F47" s="68">
        <f t="shared" si="15"/>
        <v>0</v>
      </c>
      <c r="G47" s="65"/>
      <c r="H47" s="68">
        <f t="shared" si="3"/>
        <v>0</v>
      </c>
      <c r="I47" s="5"/>
      <c r="J47" s="5"/>
      <c r="K47" s="5"/>
      <c r="L47" s="5"/>
      <c r="M47" s="5"/>
      <c r="N47" s="5"/>
      <c r="O47" s="5"/>
    </row>
    <row r="48">
      <c r="A48" s="60"/>
      <c r="B48" s="64"/>
      <c r="C48" s="65"/>
      <c r="D48" s="66"/>
      <c r="E48" s="65"/>
      <c r="F48" s="66"/>
      <c r="G48" s="65"/>
      <c r="H48" s="68">
        <f t="shared" si="3"/>
        <v>0</v>
      </c>
      <c r="I48" s="5"/>
      <c r="J48" s="5"/>
      <c r="K48" s="5"/>
      <c r="L48" s="5"/>
      <c r="M48" s="5"/>
      <c r="N48" s="5"/>
      <c r="O48" s="5"/>
    </row>
    <row r="49">
      <c r="A49" s="63" t="s">
        <v>83</v>
      </c>
      <c r="B49" s="64"/>
      <c r="C49" s="65"/>
      <c r="D49" s="66"/>
      <c r="E49" s="65"/>
      <c r="F49" s="66"/>
      <c r="G49" s="65"/>
      <c r="H49" s="68">
        <v>0.0</v>
      </c>
      <c r="I49" s="5"/>
      <c r="J49" s="5"/>
      <c r="K49" s="5"/>
      <c r="L49" s="5"/>
      <c r="M49" s="5"/>
      <c r="N49" s="5"/>
      <c r="O49" s="5"/>
    </row>
    <row r="50">
      <c r="A50" s="73" t="s">
        <v>102</v>
      </c>
      <c r="B50" s="74">
        <v>0.15</v>
      </c>
      <c r="C50" s="65"/>
      <c r="D50" s="75">
        <f>'MEDIA BUYING'!K2*B50*0.2</f>
        <v>9000</v>
      </c>
      <c r="E50" s="65"/>
      <c r="F50" s="75">
        <f>'MEDIA BUYING'!K2*B50*0.4</f>
        <v>18000</v>
      </c>
      <c r="G50" s="65"/>
      <c r="H50" s="76">
        <f t="shared" ref="H50:H52" si="16">F50</f>
        <v>18000</v>
      </c>
      <c r="I50" s="5"/>
      <c r="J50" s="5"/>
      <c r="K50" s="5"/>
      <c r="L50" s="5"/>
      <c r="M50" s="5"/>
      <c r="N50" s="5"/>
      <c r="O50" s="5"/>
    </row>
    <row r="51">
      <c r="A51" s="73" t="s">
        <v>103</v>
      </c>
      <c r="B51" s="74">
        <v>0.125</v>
      </c>
      <c r="C51" s="65"/>
      <c r="D51" s="75">
        <f>'MEDIA BUYING'!Q2*B51*0.2</f>
        <v>12500</v>
      </c>
      <c r="E51" s="65"/>
      <c r="F51" s="75">
        <f>'MEDIA BUYING'!Q2*B51*0.4</f>
        <v>25000</v>
      </c>
      <c r="G51" s="65"/>
      <c r="H51" s="76">
        <f t="shared" si="16"/>
        <v>25000</v>
      </c>
      <c r="I51" s="5"/>
      <c r="J51" s="5"/>
      <c r="K51" s="5"/>
      <c r="L51" s="5"/>
      <c r="M51" s="5"/>
      <c r="N51" s="5"/>
      <c r="O51" s="5"/>
    </row>
    <row r="52">
      <c r="A52" s="73" t="s">
        <v>104</v>
      </c>
      <c r="B52" s="77">
        <v>0.1</v>
      </c>
      <c r="C52" s="65"/>
      <c r="D52" s="66">
        <f>'MEDIA BUYING'!W2*B52*0.2</f>
        <v>20000</v>
      </c>
      <c r="E52" s="65"/>
      <c r="F52" s="66">
        <f>'MEDIA BUYING'!W2*B52*0.4</f>
        <v>40000</v>
      </c>
      <c r="G52" s="65"/>
      <c r="H52" s="68">
        <f t="shared" si="16"/>
        <v>40000</v>
      </c>
      <c r="I52" s="5"/>
      <c r="J52" s="5"/>
      <c r="K52" s="5"/>
      <c r="L52" s="5"/>
      <c r="M52" s="5"/>
      <c r="N52" s="5"/>
      <c r="O52" s="5"/>
    </row>
    <row r="53">
      <c r="A53" s="60"/>
      <c r="B53" s="64"/>
      <c r="C53" s="65"/>
      <c r="D53" s="66"/>
      <c r="E53" s="65"/>
      <c r="F53" s="66"/>
      <c r="G53" s="60"/>
      <c r="H53" s="78"/>
      <c r="I53" s="5"/>
      <c r="J53" s="79" t="s">
        <v>86</v>
      </c>
      <c r="K53" s="27"/>
      <c r="L53" s="5"/>
      <c r="M53" s="5"/>
      <c r="N53" s="5"/>
      <c r="O53" s="5"/>
    </row>
    <row r="54">
      <c r="A54" s="80" t="s">
        <v>105</v>
      </c>
      <c r="B54" s="64"/>
      <c r="C54" s="81">
        <f>SUM(C4:C53)</f>
        <v>30</v>
      </c>
      <c r="D54" s="82">
        <f>SUM(D3:D50)</f>
        <v>16920</v>
      </c>
      <c r="E54" s="81">
        <f>SUM(E4:E53)</f>
        <v>44</v>
      </c>
      <c r="F54" s="82">
        <f>SUM(F3:F50)</f>
        <v>29640</v>
      </c>
      <c r="G54" s="81">
        <f>SUM(G4:G53)</f>
        <v>60</v>
      </c>
      <c r="H54" s="82">
        <f>SUM(H4:H50)</f>
        <v>33760</v>
      </c>
      <c r="I54" s="5"/>
      <c r="J54" s="83">
        <f>D54+F54+H54-D50-F50-H50</f>
        <v>35320</v>
      </c>
      <c r="K54" s="27"/>
      <c r="L54" s="5"/>
      <c r="M54" s="5"/>
      <c r="N54" s="5"/>
      <c r="O54" s="5"/>
    </row>
    <row r="55">
      <c r="A55" s="84" t="s">
        <v>106</v>
      </c>
      <c r="B55" s="85"/>
      <c r="C55" s="85"/>
      <c r="D55" s="86">
        <f>D54-D50+D51</f>
        <v>20420</v>
      </c>
      <c r="E55" s="85"/>
      <c r="F55" s="87">
        <f>SUM(F4:F51)-F50</f>
        <v>36640</v>
      </c>
      <c r="G55" s="85"/>
      <c r="H55" s="86">
        <f>SUM(H3:H51)-H50</f>
        <v>40760</v>
      </c>
      <c r="I55" s="5"/>
      <c r="J55" s="83">
        <f t="shared" ref="J55:J56" si="17">SUM(C55:H55)-D51-F51-H51</f>
        <v>35320</v>
      </c>
      <c r="K55" s="5"/>
      <c r="L55" s="5"/>
      <c r="M55" s="5"/>
      <c r="N55" s="5"/>
      <c r="O55" s="5"/>
    </row>
    <row r="56">
      <c r="A56" s="88" t="s">
        <v>107</v>
      </c>
      <c r="B56" s="89"/>
      <c r="C56" s="89"/>
      <c r="D56" s="90">
        <f>SUM(D3:D47)+D52</f>
        <v>27920</v>
      </c>
      <c r="E56" s="89"/>
      <c r="F56" s="90">
        <f>SUM(F3:F47)+F52</f>
        <v>51640</v>
      </c>
      <c r="G56" s="89"/>
      <c r="H56" s="90">
        <f>sum(H3:H48)+H52</f>
        <v>55760</v>
      </c>
      <c r="I56" s="5"/>
      <c r="J56" s="83">
        <f t="shared" si="17"/>
        <v>35320</v>
      </c>
      <c r="K56" s="5"/>
      <c r="L56" s="5"/>
      <c r="M56" s="5"/>
      <c r="N56" s="5"/>
      <c r="O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</row>
  </sheetData>
  <mergeCells count="3">
    <mergeCell ref="C1:D1"/>
    <mergeCell ref="E1:F1"/>
    <mergeCell ref="G1:H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1" max="1" width="16.88"/>
  </cols>
  <sheetData>
    <row r="1">
      <c r="A1" s="27" t="s">
        <v>108</v>
      </c>
      <c r="B1" s="27" t="s">
        <v>109</v>
      </c>
      <c r="C1" s="27" t="s">
        <v>110</v>
      </c>
      <c r="D1" s="91" t="s">
        <v>111</v>
      </c>
      <c r="E1" s="91" t="s">
        <v>112</v>
      </c>
      <c r="F1" s="27" t="s">
        <v>113</v>
      </c>
      <c r="G1" s="27" t="s">
        <v>114</v>
      </c>
      <c r="H1" s="92" t="s">
        <v>115</v>
      </c>
      <c r="I1" s="92" t="s">
        <v>116</v>
      </c>
      <c r="J1" s="92" t="s">
        <v>117</v>
      </c>
      <c r="K1" s="93" t="s">
        <v>118</v>
      </c>
      <c r="L1" s="93"/>
      <c r="M1" s="94" t="s">
        <v>119</v>
      </c>
      <c r="N1" s="95" t="s">
        <v>120</v>
      </c>
      <c r="O1" s="96" t="s">
        <v>121</v>
      </c>
      <c r="P1" s="96" t="s">
        <v>122</v>
      </c>
      <c r="Q1" s="96" t="s">
        <v>118</v>
      </c>
      <c r="R1" s="96"/>
      <c r="S1" s="97" t="s">
        <v>119</v>
      </c>
      <c r="T1" s="97" t="s">
        <v>123</v>
      </c>
      <c r="U1" s="97" t="s">
        <v>121</v>
      </c>
      <c r="V1" s="97" t="s">
        <v>122</v>
      </c>
      <c r="W1" s="97" t="s">
        <v>118</v>
      </c>
      <c r="X1" s="97"/>
      <c r="Y1" s="5"/>
      <c r="Z1" s="5"/>
      <c r="AA1" s="5"/>
      <c r="AB1" s="5"/>
      <c r="AC1" s="5"/>
      <c r="AD1" s="5"/>
    </row>
    <row r="2">
      <c r="A2" s="27" t="s">
        <v>124</v>
      </c>
      <c r="B2" s="5"/>
      <c r="C2" s="27">
        <v>0.0</v>
      </c>
      <c r="D2" s="98"/>
      <c r="E2" s="91">
        <v>115.0</v>
      </c>
      <c r="F2" s="23"/>
      <c r="G2" s="23">
        <f t="shared" ref="G2:G3" si="1">E2*1.35</f>
        <v>155.25</v>
      </c>
      <c r="H2" s="99">
        <f t="shared" ref="H2:H9" si="2">K$2*C2</f>
        <v>0</v>
      </c>
      <c r="I2" s="100">
        <f t="shared" ref="I2:I3" si="3">(H2/G2)*1000</f>
        <v>0</v>
      </c>
      <c r="J2" s="100">
        <f t="shared" ref="J2:J9" si="4">(H2/G2)*1000</f>
        <v>0</v>
      </c>
      <c r="K2" s="101">
        <v>300000.0</v>
      </c>
      <c r="L2" s="102"/>
      <c r="M2" s="103"/>
      <c r="N2" s="104">
        <f t="shared" ref="N2:N9" si="5">Q$2*C2</f>
        <v>0</v>
      </c>
      <c r="O2" s="105">
        <f t="shared" ref="O2:O3" si="6">(N2/G2)*1000</f>
        <v>0</v>
      </c>
      <c r="P2" s="105">
        <f t="shared" ref="P2:P9" si="7">(N2/G2)*1000</f>
        <v>0</v>
      </c>
      <c r="Q2" s="96">
        <v>500000.0</v>
      </c>
      <c r="R2" s="106"/>
      <c r="S2" s="27">
        <v>0.25</v>
      </c>
      <c r="T2" s="23">
        <f t="shared" ref="T2:T9" si="8">W$2*S2</f>
        <v>250000</v>
      </c>
      <c r="U2" s="107">
        <f t="shared" ref="U2:U3" si="9">(T2/G2)*1000</f>
        <v>1610305.958</v>
      </c>
      <c r="V2" s="107">
        <f t="shared" ref="V2:V9" si="10">(T2/G2)*1000</f>
        <v>1610305.958</v>
      </c>
      <c r="W2" s="28">
        <v>1000000.0</v>
      </c>
      <c r="X2" s="28"/>
      <c r="Y2" s="5"/>
      <c r="Z2" s="5"/>
      <c r="AA2" s="5"/>
      <c r="AB2" s="5"/>
      <c r="AC2" s="5"/>
      <c r="AD2" s="5"/>
    </row>
    <row r="3">
      <c r="A3" s="27" t="s">
        <v>125</v>
      </c>
      <c r="B3" s="5"/>
      <c r="C3" s="27">
        <v>0.175</v>
      </c>
      <c r="D3" s="98"/>
      <c r="E3" s="91">
        <v>35.0</v>
      </c>
      <c r="F3" s="23"/>
      <c r="G3" s="23">
        <f t="shared" si="1"/>
        <v>47.25</v>
      </c>
      <c r="H3" s="99">
        <f t="shared" si="2"/>
        <v>52500</v>
      </c>
      <c r="I3" s="100">
        <f t="shared" si="3"/>
        <v>1111111.111</v>
      </c>
      <c r="J3" s="100">
        <f t="shared" si="4"/>
        <v>1111111.111</v>
      </c>
      <c r="K3" s="102"/>
      <c r="L3" s="102"/>
      <c r="M3" s="103"/>
      <c r="N3" s="104">
        <f t="shared" si="5"/>
        <v>87500</v>
      </c>
      <c r="O3" s="105">
        <f t="shared" si="6"/>
        <v>1851851.852</v>
      </c>
      <c r="P3" s="105">
        <f t="shared" si="7"/>
        <v>1851851.852</v>
      </c>
      <c r="Q3" s="106"/>
      <c r="R3" s="106"/>
      <c r="S3" s="27">
        <v>0.1</v>
      </c>
      <c r="T3" s="23">
        <f t="shared" si="8"/>
        <v>100000</v>
      </c>
      <c r="U3" s="107">
        <f t="shared" si="9"/>
        <v>2116402.116</v>
      </c>
      <c r="V3" s="107">
        <f t="shared" si="10"/>
        <v>2116402.116</v>
      </c>
      <c r="W3" s="23"/>
      <c r="X3" s="23"/>
      <c r="Y3" s="5"/>
      <c r="Z3" s="5"/>
      <c r="AA3" s="5"/>
      <c r="AB3" s="5"/>
      <c r="AC3" s="5"/>
      <c r="AD3" s="5"/>
    </row>
    <row r="4">
      <c r="A4" s="27" t="s">
        <v>126</v>
      </c>
      <c r="B4" s="5"/>
      <c r="C4" s="27">
        <v>0.15</v>
      </c>
      <c r="D4" s="91">
        <v>3.0</v>
      </c>
      <c r="E4" s="91">
        <v>8.5</v>
      </c>
      <c r="F4" s="23">
        <f t="shared" ref="F4:G4" si="11">D4*1.35</f>
        <v>4.05</v>
      </c>
      <c r="G4" s="23">
        <f t="shared" si="11"/>
        <v>11.475</v>
      </c>
      <c r="H4" s="99">
        <f t="shared" si="2"/>
        <v>45000</v>
      </c>
      <c r="I4" s="100">
        <f t="shared" ref="I4:I9" si="13">(H4/F4)*1000</f>
        <v>11111111.11</v>
      </c>
      <c r="J4" s="100">
        <f t="shared" si="4"/>
        <v>3921568.627</v>
      </c>
      <c r="K4" s="102"/>
      <c r="L4" s="102"/>
      <c r="M4" s="103"/>
      <c r="N4" s="104">
        <f t="shared" si="5"/>
        <v>75000</v>
      </c>
      <c r="O4" s="105">
        <f t="shared" ref="O4:O9" si="14">(N4/F4)*1000</f>
        <v>18518518.52</v>
      </c>
      <c r="P4" s="105">
        <f t="shared" si="7"/>
        <v>6535947.712</v>
      </c>
      <c r="Q4" s="106"/>
      <c r="R4" s="106"/>
      <c r="S4" s="27">
        <v>0.1</v>
      </c>
      <c r="T4" s="23">
        <f t="shared" si="8"/>
        <v>100000</v>
      </c>
      <c r="U4" s="107">
        <f t="shared" ref="U4:U9" si="15">(T4/F4)*1000</f>
        <v>24691358.02</v>
      </c>
      <c r="V4" s="107">
        <f t="shared" si="10"/>
        <v>8714596.95</v>
      </c>
      <c r="W4" s="23"/>
      <c r="X4" s="23"/>
      <c r="Y4" s="5"/>
      <c r="Z4" s="5"/>
      <c r="AA4" s="5"/>
      <c r="AB4" s="5"/>
      <c r="AC4" s="5"/>
      <c r="AD4" s="5"/>
    </row>
    <row r="5">
      <c r="A5" s="27" t="s">
        <v>127</v>
      </c>
      <c r="B5" s="5"/>
      <c r="C5" s="27">
        <v>0.15</v>
      </c>
      <c r="D5" s="91">
        <v>1.5</v>
      </c>
      <c r="E5" s="91">
        <v>5.0</v>
      </c>
      <c r="F5" s="23">
        <f t="shared" ref="F5:G5" si="12">D5*1.35</f>
        <v>2.025</v>
      </c>
      <c r="G5" s="23">
        <f t="shared" si="12"/>
        <v>6.75</v>
      </c>
      <c r="H5" s="99">
        <f t="shared" si="2"/>
        <v>45000</v>
      </c>
      <c r="I5" s="100">
        <f t="shared" si="13"/>
        <v>22222222.22</v>
      </c>
      <c r="J5" s="100">
        <f t="shared" si="4"/>
        <v>6666666.667</v>
      </c>
      <c r="K5" s="102"/>
      <c r="L5" s="102"/>
      <c r="M5" s="103"/>
      <c r="N5" s="104">
        <f t="shared" si="5"/>
        <v>75000</v>
      </c>
      <c r="O5" s="105">
        <f t="shared" si="14"/>
        <v>37037037.04</v>
      </c>
      <c r="P5" s="105">
        <f t="shared" si="7"/>
        <v>11111111.11</v>
      </c>
      <c r="Q5" s="106"/>
      <c r="R5" s="106"/>
      <c r="S5" s="27">
        <v>0.1</v>
      </c>
      <c r="T5" s="23">
        <f t="shared" si="8"/>
        <v>100000</v>
      </c>
      <c r="U5" s="107">
        <f t="shared" si="15"/>
        <v>49382716.05</v>
      </c>
      <c r="V5" s="107">
        <f t="shared" si="10"/>
        <v>14814814.81</v>
      </c>
      <c r="W5" s="23"/>
      <c r="X5" s="23"/>
      <c r="Y5" s="5"/>
      <c r="Z5" s="5"/>
      <c r="AA5" s="5"/>
      <c r="AB5" s="5"/>
      <c r="AC5" s="5"/>
      <c r="AD5" s="5"/>
    </row>
    <row r="6">
      <c r="A6" s="27" t="s">
        <v>128</v>
      </c>
      <c r="B6" s="5"/>
      <c r="C6" s="27">
        <v>0.1</v>
      </c>
      <c r="D6" s="91">
        <v>1.5</v>
      </c>
      <c r="E6" s="91">
        <v>5.0</v>
      </c>
      <c r="F6" s="23">
        <f t="shared" ref="F6:G6" si="16">D6*1.35</f>
        <v>2.025</v>
      </c>
      <c r="G6" s="23">
        <f t="shared" si="16"/>
        <v>6.75</v>
      </c>
      <c r="H6" s="99">
        <f t="shared" si="2"/>
        <v>30000</v>
      </c>
      <c r="I6" s="100">
        <f t="shared" si="13"/>
        <v>14814814.81</v>
      </c>
      <c r="J6" s="100">
        <f t="shared" si="4"/>
        <v>4444444.444</v>
      </c>
      <c r="K6" s="102"/>
      <c r="L6" s="102"/>
      <c r="M6" s="103"/>
      <c r="N6" s="104">
        <f t="shared" si="5"/>
        <v>50000</v>
      </c>
      <c r="O6" s="105">
        <f t="shared" si="14"/>
        <v>24691358.02</v>
      </c>
      <c r="P6" s="105">
        <f t="shared" si="7"/>
        <v>7407407.407</v>
      </c>
      <c r="Q6" s="106"/>
      <c r="R6" s="106"/>
      <c r="S6" s="27">
        <v>0.1</v>
      </c>
      <c r="T6" s="23">
        <f t="shared" si="8"/>
        <v>100000</v>
      </c>
      <c r="U6" s="107">
        <f t="shared" si="15"/>
        <v>49382716.05</v>
      </c>
      <c r="V6" s="107">
        <f t="shared" si="10"/>
        <v>14814814.81</v>
      </c>
      <c r="W6" s="23"/>
      <c r="X6" s="23"/>
      <c r="Y6" s="5"/>
      <c r="Z6" s="5"/>
      <c r="AA6" s="5"/>
      <c r="AB6" s="5"/>
      <c r="AC6" s="5"/>
      <c r="AD6" s="5"/>
    </row>
    <row r="7">
      <c r="A7" s="27" t="s">
        <v>129</v>
      </c>
      <c r="B7" s="5"/>
      <c r="C7" s="27">
        <v>0.2</v>
      </c>
      <c r="D7" s="91">
        <v>10.0</v>
      </c>
      <c r="E7" s="91">
        <v>12.5</v>
      </c>
      <c r="F7" s="23">
        <f t="shared" ref="F7:G7" si="17">D7*1.35</f>
        <v>13.5</v>
      </c>
      <c r="G7" s="23">
        <f t="shared" si="17"/>
        <v>16.875</v>
      </c>
      <c r="H7" s="99">
        <f t="shared" si="2"/>
        <v>60000</v>
      </c>
      <c r="I7" s="100">
        <f t="shared" si="13"/>
        <v>4444444.444</v>
      </c>
      <c r="J7" s="100">
        <f t="shared" si="4"/>
        <v>3555555.556</v>
      </c>
      <c r="K7" s="102"/>
      <c r="L7" s="102"/>
      <c r="M7" s="103"/>
      <c r="N7" s="104">
        <f t="shared" si="5"/>
        <v>100000</v>
      </c>
      <c r="O7" s="105">
        <f t="shared" si="14"/>
        <v>7407407.407</v>
      </c>
      <c r="P7" s="105">
        <f t="shared" si="7"/>
        <v>5925925.926</v>
      </c>
      <c r="Q7" s="106"/>
      <c r="R7" s="106"/>
      <c r="S7" s="27">
        <v>0.15</v>
      </c>
      <c r="T7" s="23">
        <f t="shared" si="8"/>
        <v>150000</v>
      </c>
      <c r="U7" s="107">
        <f t="shared" si="15"/>
        <v>11111111.11</v>
      </c>
      <c r="V7" s="107">
        <f t="shared" si="10"/>
        <v>8888888.889</v>
      </c>
      <c r="W7" s="23"/>
      <c r="X7" s="23"/>
      <c r="Y7" s="5"/>
      <c r="Z7" s="5"/>
      <c r="AA7" s="5"/>
      <c r="AB7" s="5"/>
      <c r="AC7" s="5"/>
      <c r="AD7" s="5"/>
    </row>
    <row r="8">
      <c r="A8" s="27" t="s">
        <v>130</v>
      </c>
      <c r="B8" s="5"/>
      <c r="C8" s="27">
        <v>0.15</v>
      </c>
      <c r="D8" s="91">
        <v>10.0</v>
      </c>
      <c r="E8" s="91">
        <v>30.0</v>
      </c>
      <c r="F8" s="23">
        <f t="shared" ref="F8:G8" si="18">D8*1.35</f>
        <v>13.5</v>
      </c>
      <c r="G8" s="23">
        <f t="shared" si="18"/>
        <v>40.5</v>
      </c>
      <c r="H8" s="99">
        <f t="shared" si="2"/>
        <v>45000</v>
      </c>
      <c r="I8" s="100">
        <f t="shared" si="13"/>
        <v>3333333.333</v>
      </c>
      <c r="J8" s="100">
        <f t="shared" si="4"/>
        <v>1111111.111</v>
      </c>
      <c r="K8" s="102"/>
      <c r="L8" s="102"/>
      <c r="M8" s="103"/>
      <c r="N8" s="104">
        <f t="shared" si="5"/>
        <v>75000</v>
      </c>
      <c r="O8" s="105">
        <f t="shared" si="14"/>
        <v>5555555.556</v>
      </c>
      <c r="P8" s="105">
        <f t="shared" si="7"/>
        <v>1851851.852</v>
      </c>
      <c r="Q8" s="106"/>
      <c r="R8" s="106"/>
      <c r="S8" s="27">
        <v>0.1</v>
      </c>
      <c r="T8" s="23">
        <f t="shared" si="8"/>
        <v>100000</v>
      </c>
      <c r="U8" s="107">
        <f t="shared" si="15"/>
        <v>7407407.407</v>
      </c>
      <c r="V8" s="107">
        <f t="shared" si="10"/>
        <v>2469135.802</v>
      </c>
      <c r="W8" s="23"/>
      <c r="X8" s="23"/>
      <c r="Y8" s="5"/>
      <c r="Z8" s="5"/>
      <c r="AA8" s="5"/>
      <c r="AB8" s="5"/>
      <c r="AC8" s="5"/>
      <c r="AD8" s="5"/>
    </row>
    <row r="9">
      <c r="A9" s="27" t="s">
        <v>131</v>
      </c>
      <c r="B9" s="5"/>
      <c r="C9" s="27">
        <v>0.075</v>
      </c>
      <c r="D9" s="91">
        <v>4.0</v>
      </c>
      <c r="E9" s="91">
        <v>5.0</v>
      </c>
      <c r="F9" s="23">
        <f t="shared" ref="F9:G9" si="19">D9*1.35</f>
        <v>5.4</v>
      </c>
      <c r="G9" s="23">
        <f t="shared" si="19"/>
        <v>6.75</v>
      </c>
      <c r="H9" s="99">
        <f t="shared" si="2"/>
        <v>22500</v>
      </c>
      <c r="I9" s="100">
        <f t="shared" si="13"/>
        <v>4166666.667</v>
      </c>
      <c r="J9" s="100">
        <f t="shared" si="4"/>
        <v>3333333.333</v>
      </c>
      <c r="K9" s="102"/>
      <c r="L9" s="102"/>
      <c r="M9" s="103"/>
      <c r="N9" s="104">
        <f t="shared" si="5"/>
        <v>37500</v>
      </c>
      <c r="O9" s="105">
        <f t="shared" si="14"/>
        <v>6944444.444</v>
      </c>
      <c r="P9" s="105">
        <f t="shared" si="7"/>
        <v>5555555.556</v>
      </c>
      <c r="Q9" s="106"/>
      <c r="R9" s="106"/>
      <c r="S9" s="27">
        <v>0.1</v>
      </c>
      <c r="T9" s="23">
        <f t="shared" si="8"/>
        <v>100000</v>
      </c>
      <c r="U9" s="107">
        <f t="shared" si="15"/>
        <v>18518518.52</v>
      </c>
      <c r="V9" s="107">
        <f t="shared" si="10"/>
        <v>14814814.81</v>
      </c>
      <c r="W9" s="23"/>
      <c r="X9" s="23"/>
      <c r="Y9" s="5"/>
      <c r="Z9" s="5"/>
      <c r="AA9" s="5"/>
      <c r="AB9" s="5"/>
      <c r="AC9" s="5"/>
      <c r="AD9" s="5"/>
    </row>
    <row r="10">
      <c r="A10" s="5"/>
      <c r="B10" s="5"/>
      <c r="C10" s="5"/>
      <c r="D10" s="98"/>
      <c r="E10" s="98"/>
      <c r="F10" s="23"/>
      <c r="G10" s="23"/>
      <c r="H10" s="99"/>
      <c r="I10" s="102"/>
      <c r="J10" s="102"/>
      <c r="K10" s="108" t="s">
        <v>132</v>
      </c>
      <c r="L10" s="108" t="s">
        <v>133</v>
      </c>
      <c r="M10" s="103"/>
      <c r="N10" s="104"/>
      <c r="O10" s="105"/>
      <c r="P10" s="105"/>
      <c r="Q10" s="109" t="s">
        <v>132</v>
      </c>
      <c r="R10" s="109" t="s">
        <v>134</v>
      </c>
      <c r="S10" s="5"/>
      <c r="T10" s="5"/>
      <c r="U10" s="107"/>
      <c r="V10" s="107"/>
      <c r="W10" s="28" t="s">
        <v>132</v>
      </c>
      <c r="X10" s="28" t="s">
        <v>133</v>
      </c>
      <c r="Y10" s="5"/>
      <c r="Z10" s="5"/>
      <c r="AA10" s="5"/>
      <c r="AB10" s="5"/>
      <c r="AC10" s="5"/>
      <c r="AD10" s="5"/>
    </row>
    <row r="11">
      <c r="A11" s="25" t="s">
        <v>135</v>
      </c>
      <c r="B11" s="110"/>
      <c r="C11" s="110">
        <f>SUM(C2:C9)</f>
        <v>1</v>
      </c>
      <c r="D11" s="111"/>
      <c r="E11" s="111"/>
      <c r="F11" s="26"/>
      <c r="G11" s="26"/>
      <c r="H11" s="112">
        <f t="shared" ref="H11:H13" si="21">K$2*C11</f>
        <v>300000</v>
      </c>
      <c r="I11" s="113">
        <f>SUM(I2:I9)</f>
        <v>61203703.7</v>
      </c>
      <c r="J11" s="113">
        <f>sum(J2:J9)</f>
        <v>24143790.85</v>
      </c>
      <c r="K11" s="114">
        <f>(H11/I11)*1000</f>
        <v>4.901664145</v>
      </c>
      <c r="L11" s="114">
        <f>(H11/J11)*1000</f>
        <v>12.42555495</v>
      </c>
      <c r="M11" s="103"/>
      <c r="N11" s="115">
        <f>Q$2*C11</f>
        <v>500000</v>
      </c>
      <c r="O11" s="105">
        <f>SUM(O2:O9)</f>
        <v>102006172.8</v>
      </c>
      <c r="P11" s="105">
        <f>sum(P2:P9)</f>
        <v>40239651.42</v>
      </c>
      <c r="Q11" s="116">
        <f>(N11/O11)*1000</f>
        <v>4.901664145</v>
      </c>
      <c r="R11" s="116">
        <f>(N11/P11)*1000</f>
        <v>12.42555495</v>
      </c>
      <c r="S11" s="5">
        <f>sum(S2:S9)</f>
        <v>1</v>
      </c>
      <c r="T11" s="26">
        <f t="shared" ref="T11:T13" si="22">W$2*S11</f>
        <v>1000000</v>
      </c>
      <c r="U11" s="107">
        <f t="shared" ref="U11:V11" si="20">SUM(U2:U9)</f>
        <v>164220535.2</v>
      </c>
      <c r="V11" s="107">
        <f t="shared" si="20"/>
        <v>68243774.16</v>
      </c>
      <c r="W11" s="23">
        <f>(T11/U11)*1000</f>
        <v>6.089372432</v>
      </c>
      <c r="X11" s="23">
        <f>(T11/V11)*1000</f>
        <v>14.65335135</v>
      </c>
      <c r="Y11" s="5"/>
      <c r="Z11" s="5"/>
      <c r="AA11" s="5"/>
      <c r="AB11" s="5"/>
      <c r="AC11" s="5"/>
      <c r="AD11" s="5"/>
    </row>
    <row r="12">
      <c r="A12" s="117" t="s">
        <v>136</v>
      </c>
      <c r="B12" s="118"/>
      <c r="C12" s="117">
        <v>0.25</v>
      </c>
      <c r="D12" s="119"/>
      <c r="E12" s="119"/>
      <c r="F12" s="120"/>
      <c r="G12" s="120"/>
      <c r="H12" s="99">
        <f t="shared" si="21"/>
        <v>75000</v>
      </c>
      <c r="I12" s="121">
        <f>I11*C12</f>
        <v>15300925.93</v>
      </c>
      <c r="J12" s="121">
        <f>J11*C12</f>
        <v>6035947.712</v>
      </c>
      <c r="M12" s="122">
        <v>0.25</v>
      </c>
      <c r="N12" s="104">
        <f>N11*C12</f>
        <v>125000</v>
      </c>
      <c r="O12" s="105">
        <f>O11*C12</f>
        <v>25501543.21</v>
      </c>
      <c r="P12" s="105">
        <f>P11*C12</f>
        <v>10059912.85</v>
      </c>
      <c r="Q12" s="123"/>
      <c r="R12" s="123"/>
      <c r="S12" s="27">
        <v>0.2</v>
      </c>
      <c r="T12" s="23">
        <f t="shared" si="22"/>
        <v>200000</v>
      </c>
      <c r="U12" s="107">
        <f>U11*S12</f>
        <v>32844107.05</v>
      </c>
      <c r="V12" s="107">
        <f>V11*S12</f>
        <v>13648754.83</v>
      </c>
      <c r="W12" s="23"/>
      <c r="X12" s="23"/>
      <c r="Y12" s="5"/>
      <c r="Z12" s="5"/>
      <c r="AA12" s="5"/>
      <c r="AB12" s="5"/>
      <c r="AC12" s="5"/>
      <c r="AD12" s="5"/>
    </row>
    <row r="13">
      <c r="A13" s="124" t="s">
        <v>137</v>
      </c>
      <c r="B13" s="125"/>
      <c r="C13" s="124">
        <v>0.75</v>
      </c>
      <c r="D13" s="126"/>
      <c r="E13" s="126"/>
      <c r="F13" s="125"/>
      <c r="G13" s="125"/>
      <c r="H13" s="99">
        <f t="shared" si="21"/>
        <v>225000</v>
      </c>
      <c r="I13" s="121">
        <f t="shared" ref="I13:J13" si="23">I11*0.75</f>
        <v>45902777.78</v>
      </c>
      <c r="J13" s="121">
        <f t="shared" si="23"/>
        <v>18107843.14</v>
      </c>
      <c r="M13" s="122">
        <v>0.75</v>
      </c>
      <c r="N13" s="104">
        <f>N11*C13</f>
        <v>375000</v>
      </c>
      <c r="O13" s="105">
        <f t="shared" ref="O13:P13" si="24">O11*0.75</f>
        <v>76504629.63</v>
      </c>
      <c r="P13" s="105">
        <f t="shared" si="24"/>
        <v>30179738.56</v>
      </c>
      <c r="Q13" s="123"/>
      <c r="R13" s="123"/>
      <c r="S13" s="27">
        <v>0.8</v>
      </c>
      <c r="T13" s="23">
        <f t="shared" si="22"/>
        <v>800000</v>
      </c>
      <c r="U13" s="107">
        <f>U11*S13</f>
        <v>131376428.2</v>
      </c>
      <c r="V13" s="107">
        <f>V11*S13</f>
        <v>54595019.33</v>
      </c>
      <c r="W13" s="23"/>
      <c r="X13" s="23"/>
      <c r="Y13" s="5"/>
      <c r="Z13" s="5"/>
      <c r="AA13" s="5"/>
      <c r="AB13" s="5"/>
      <c r="AC13" s="5"/>
      <c r="AD13" s="5"/>
    </row>
    <row r="14">
      <c r="A14" s="5"/>
      <c r="B14" s="5"/>
      <c r="C14" s="5"/>
      <c r="D14" s="98"/>
      <c r="E14" s="98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27" t="s">
        <v>138</v>
      </c>
      <c r="B15" s="5"/>
      <c r="C15" s="5"/>
      <c r="D15" s="98"/>
      <c r="E15" s="98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27"/>
      <c r="B16" s="5"/>
      <c r="C16" s="5"/>
      <c r="D16" s="98"/>
      <c r="E16" s="98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5"/>
      <c r="B17" s="5"/>
      <c r="C17" s="5"/>
      <c r="D17" s="98"/>
      <c r="E17" s="9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5"/>
      <c r="B18" s="5"/>
      <c r="C18" s="5"/>
      <c r="D18" s="98"/>
      <c r="E18" s="98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5"/>
      <c r="B19" s="5"/>
      <c r="C19" s="5"/>
      <c r="D19" s="98"/>
      <c r="E19" s="98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5"/>
      <c r="B20" s="5"/>
      <c r="C20" s="5"/>
      <c r="D20" s="98"/>
      <c r="E20" s="98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A21" s="5"/>
      <c r="B21" s="5"/>
      <c r="C21" s="5"/>
      <c r="D21" s="98"/>
      <c r="E21" s="98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A22" s="5"/>
      <c r="B22" s="5"/>
      <c r="C22" s="5"/>
      <c r="D22" s="98"/>
      <c r="E22" s="98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A23" s="5"/>
      <c r="B23" s="5"/>
      <c r="C23" s="5"/>
      <c r="D23" s="98"/>
      <c r="E23" s="98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A24" s="5"/>
      <c r="B24" s="5"/>
      <c r="C24" s="5"/>
      <c r="D24" s="98"/>
      <c r="E24" s="98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A25" s="5"/>
      <c r="B25" s="5"/>
      <c r="C25" s="5"/>
      <c r="D25" s="98"/>
      <c r="E25" s="98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>
      <c r="A26" s="5"/>
      <c r="B26" s="5"/>
      <c r="C26" s="5"/>
      <c r="D26" s="98"/>
      <c r="E26" s="98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A27" s="5"/>
      <c r="B27" s="5"/>
      <c r="C27" s="5"/>
      <c r="D27" s="98"/>
      <c r="E27" s="98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A28" s="5"/>
      <c r="B28" s="5"/>
      <c r="C28" s="5"/>
      <c r="D28" s="98"/>
      <c r="E28" s="98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A29" s="5"/>
      <c r="B29" s="5"/>
      <c r="C29" s="5"/>
      <c r="D29" s="98"/>
      <c r="E29" s="98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A30" s="5"/>
      <c r="B30" s="5"/>
      <c r="C30" s="5"/>
      <c r="D30" s="98"/>
      <c r="E30" s="98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A31" s="5"/>
      <c r="B31" s="5"/>
      <c r="C31" s="5"/>
      <c r="D31" s="98"/>
      <c r="E31" s="98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A32" s="5"/>
      <c r="B32" s="5"/>
      <c r="C32" s="5"/>
      <c r="D32" s="98"/>
      <c r="E32" s="98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A33" s="5"/>
      <c r="B33" s="5"/>
      <c r="C33" s="5"/>
      <c r="D33" s="98"/>
      <c r="E33" s="98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A34" s="5"/>
      <c r="B34" s="5"/>
      <c r="C34" s="5"/>
      <c r="D34" s="98"/>
      <c r="E34" s="98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A35" s="5"/>
      <c r="B35" s="5"/>
      <c r="C35" s="5"/>
      <c r="D35" s="98"/>
      <c r="E35" s="98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A36" s="5"/>
      <c r="B36" s="5"/>
      <c r="C36" s="5"/>
      <c r="D36" s="98"/>
      <c r="E36" s="98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A37" s="5"/>
      <c r="B37" s="5"/>
      <c r="C37" s="5"/>
      <c r="D37" s="98"/>
      <c r="E37" s="98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5"/>
      <c r="B38" s="5"/>
      <c r="C38" s="5"/>
      <c r="D38" s="98"/>
      <c r="E38" s="98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A39" s="5"/>
      <c r="B39" s="5"/>
      <c r="C39" s="5"/>
      <c r="D39" s="98"/>
      <c r="E39" s="98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A40" s="5"/>
      <c r="B40" s="5"/>
      <c r="C40" s="5"/>
      <c r="D40" s="98"/>
      <c r="E40" s="98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5"/>
      <c r="B41" s="5"/>
      <c r="C41" s="5"/>
      <c r="D41" s="98"/>
      <c r="E41" s="98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5"/>
      <c r="B42" s="5"/>
      <c r="C42" s="5"/>
      <c r="D42" s="98"/>
      <c r="E42" s="98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5"/>
      <c r="B43" s="5"/>
      <c r="C43" s="5"/>
      <c r="D43" s="98"/>
      <c r="E43" s="98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5"/>
      <c r="B44" s="5"/>
      <c r="C44" s="5"/>
      <c r="D44" s="98"/>
      <c r="E44" s="98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5"/>
      <c r="B45" s="5"/>
      <c r="C45" s="5"/>
      <c r="D45" s="98"/>
      <c r="E45" s="9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5"/>
      <c r="B46" s="5"/>
      <c r="C46" s="5"/>
      <c r="D46" s="98"/>
      <c r="E46" s="98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5"/>
      <c r="B47" s="5"/>
      <c r="C47" s="5"/>
      <c r="D47" s="98"/>
      <c r="E47" s="98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5"/>
      <c r="B48" s="5"/>
      <c r="C48" s="5"/>
      <c r="D48" s="98"/>
      <c r="E48" s="98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5"/>
      <c r="B49" s="5"/>
      <c r="C49" s="5"/>
      <c r="D49" s="98"/>
      <c r="E49" s="98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5"/>
      <c r="B50" s="5"/>
      <c r="C50" s="5"/>
      <c r="D50" s="98"/>
      <c r="E50" s="98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5"/>
      <c r="B51" s="5"/>
      <c r="C51" s="5"/>
      <c r="D51" s="98"/>
      <c r="E51" s="98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98"/>
      <c r="E52" s="98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98"/>
      <c r="E53" s="98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98"/>
      <c r="E54" s="98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98"/>
      <c r="E55" s="98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98"/>
      <c r="E56" s="98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98"/>
      <c r="E57" s="98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98"/>
      <c r="E58" s="98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98"/>
      <c r="E59" s="98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98"/>
      <c r="E60" s="98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98"/>
      <c r="E61" s="98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98"/>
      <c r="E62" s="98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98"/>
      <c r="E63" s="98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98"/>
      <c r="E64" s="98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98"/>
      <c r="E65" s="98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98"/>
      <c r="E66" s="98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98"/>
      <c r="E67" s="98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98"/>
      <c r="E68" s="98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98"/>
      <c r="E69" s="98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98"/>
      <c r="E70" s="98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98"/>
      <c r="E71" s="98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98"/>
      <c r="E72" s="98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98"/>
      <c r="E73" s="98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98"/>
      <c r="E74" s="98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98"/>
      <c r="E75" s="98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98"/>
      <c r="E76" s="98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98"/>
      <c r="E77" s="98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98"/>
      <c r="E78" s="98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98"/>
      <c r="E79" s="98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98"/>
      <c r="E80" s="98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98"/>
      <c r="E81" s="98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98"/>
      <c r="E82" s="98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98"/>
      <c r="E83" s="98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98"/>
      <c r="E84" s="98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98"/>
      <c r="E85" s="98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98"/>
      <c r="E86" s="98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98"/>
      <c r="E87" s="98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98"/>
      <c r="E88" s="98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98"/>
      <c r="E89" s="98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98"/>
      <c r="E90" s="98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98"/>
      <c r="E91" s="98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98"/>
      <c r="E92" s="98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98"/>
      <c r="E93" s="98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98"/>
      <c r="E94" s="98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98"/>
      <c r="E95" s="98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98"/>
      <c r="E96" s="98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98"/>
      <c r="E97" s="98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98"/>
      <c r="E98" s="98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98"/>
      <c r="E99" s="98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98"/>
      <c r="E100" s="98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98"/>
      <c r="E101" s="98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98"/>
      <c r="E102" s="98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98"/>
      <c r="E103" s="98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98"/>
      <c r="E104" s="98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98"/>
      <c r="E105" s="98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98"/>
      <c r="E106" s="98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98"/>
      <c r="E107" s="98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98"/>
      <c r="E108" s="98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98"/>
      <c r="E109" s="98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98"/>
      <c r="E110" s="98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98"/>
      <c r="E111" s="98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98"/>
      <c r="E112" s="98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98"/>
      <c r="E113" s="98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98"/>
      <c r="E114" s="98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98"/>
      <c r="E115" s="98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98"/>
      <c r="E116" s="98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98"/>
      <c r="E117" s="98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98"/>
      <c r="E118" s="98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98"/>
      <c r="E119" s="98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98"/>
      <c r="E120" s="98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98"/>
      <c r="E121" s="98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98"/>
      <c r="E122" s="98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98"/>
      <c r="E123" s="98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98"/>
      <c r="E124" s="98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98"/>
      <c r="E125" s="98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98"/>
      <c r="E126" s="98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98"/>
      <c r="E127" s="98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98"/>
      <c r="E128" s="98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98"/>
      <c r="E129" s="98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98"/>
      <c r="E130" s="98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98"/>
      <c r="E131" s="98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98"/>
      <c r="E132" s="98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98"/>
      <c r="E133" s="98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98"/>
      <c r="E134" s="98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98"/>
      <c r="E135" s="98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98"/>
      <c r="E136" s="98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98"/>
      <c r="E137" s="98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98"/>
      <c r="E138" s="98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98"/>
      <c r="E139" s="98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98"/>
      <c r="E140" s="98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98"/>
      <c r="E141" s="98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98"/>
      <c r="E142" s="98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98"/>
      <c r="E143" s="98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98"/>
      <c r="E144" s="98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98"/>
      <c r="E145" s="98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98"/>
      <c r="E146" s="98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98"/>
      <c r="E147" s="98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98"/>
      <c r="E148" s="98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98"/>
      <c r="E149" s="98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98"/>
      <c r="E150" s="98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98"/>
      <c r="E151" s="98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98"/>
      <c r="E152" s="98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98"/>
      <c r="E153" s="98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98"/>
      <c r="E154" s="98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98"/>
      <c r="E155" s="98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98"/>
      <c r="E156" s="98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98"/>
      <c r="E157" s="98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98"/>
      <c r="E158" s="98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98"/>
      <c r="E159" s="98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98"/>
      <c r="E160" s="98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98"/>
      <c r="E161" s="98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98"/>
      <c r="E162" s="98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98"/>
      <c r="E163" s="98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98"/>
      <c r="E164" s="98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98"/>
      <c r="E165" s="98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98"/>
      <c r="E166" s="98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98"/>
      <c r="E167" s="98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98"/>
      <c r="E168" s="98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98"/>
      <c r="E169" s="98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98"/>
      <c r="E170" s="98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98"/>
      <c r="E171" s="98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98"/>
      <c r="E172" s="98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98"/>
      <c r="E173" s="98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98"/>
      <c r="E174" s="98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98"/>
      <c r="E175" s="98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98"/>
      <c r="E176" s="98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98"/>
      <c r="E177" s="98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98"/>
      <c r="E178" s="98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98"/>
      <c r="E179" s="98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98"/>
      <c r="E180" s="98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98"/>
      <c r="E181" s="98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98"/>
      <c r="E182" s="98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98"/>
      <c r="E183" s="98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98"/>
      <c r="E184" s="98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98"/>
      <c r="E185" s="98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98"/>
      <c r="E186" s="98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98"/>
      <c r="E187" s="98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98"/>
      <c r="E188" s="98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98"/>
      <c r="E189" s="98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98"/>
      <c r="E190" s="98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98"/>
      <c r="E191" s="98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98"/>
      <c r="E192" s="98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98"/>
      <c r="E193" s="98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98"/>
      <c r="E194" s="98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98"/>
      <c r="E195" s="98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98"/>
      <c r="E196" s="98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98"/>
      <c r="E197" s="98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98"/>
      <c r="E198" s="98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98"/>
      <c r="E199" s="98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98"/>
      <c r="E200" s="98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98"/>
      <c r="E201" s="98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98"/>
      <c r="E202" s="98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98"/>
      <c r="E203" s="98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98"/>
      <c r="E204" s="98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98"/>
      <c r="E205" s="98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98"/>
      <c r="E206" s="98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98"/>
      <c r="E207" s="98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98"/>
      <c r="E208" s="98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98"/>
      <c r="E209" s="98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98"/>
      <c r="E210" s="98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98"/>
      <c r="E211" s="98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98"/>
      <c r="E212" s="98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98"/>
      <c r="E213" s="98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98"/>
      <c r="E214" s="98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98"/>
      <c r="E215" s="98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98"/>
      <c r="E216" s="98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98"/>
      <c r="E217" s="98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98"/>
      <c r="E218" s="98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98"/>
      <c r="E219" s="98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98"/>
      <c r="E220" s="98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98"/>
      <c r="E221" s="98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98"/>
      <c r="E222" s="98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98"/>
      <c r="E223" s="98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98"/>
      <c r="E224" s="98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98"/>
      <c r="E225" s="98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98"/>
      <c r="E226" s="98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98"/>
      <c r="E227" s="98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98"/>
      <c r="E228" s="98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98"/>
      <c r="E229" s="98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98"/>
      <c r="E230" s="98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98"/>
      <c r="E231" s="98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98"/>
      <c r="E232" s="98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98"/>
      <c r="E233" s="98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98"/>
      <c r="E234" s="98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98"/>
      <c r="E235" s="98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98"/>
      <c r="E236" s="98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98"/>
      <c r="E237" s="98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98"/>
      <c r="E238" s="98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98"/>
      <c r="E239" s="98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98"/>
      <c r="E240" s="98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98"/>
      <c r="E241" s="98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98"/>
      <c r="E242" s="98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98"/>
      <c r="E243" s="98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98"/>
      <c r="E244" s="98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98"/>
      <c r="E245" s="98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98"/>
      <c r="E246" s="98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98"/>
      <c r="E247" s="98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98"/>
      <c r="E248" s="98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98"/>
      <c r="E249" s="98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98"/>
      <c r="E250" s="98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98"/>
      <c r="E251" s="98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98"/>
      <c r="E252" s="98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98"/>
      <c r="E253" s="98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98"/>
      <c r="E254" s="98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98"/>
      <c r="E255" s="98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98"/>
      <c r="E256" s="98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98"/>
      <c r="E257" s="98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98"/>
      <c r="E258" s="98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98"/>
      <c r="E259" s="98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98"/>
      <c r="E260" s="98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98"/>
      <c r="E261" s="98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98"/>
      <c r="E262" s="98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98"/>
      <c r="E263" s="98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98"/>
      <c r="E264" s="98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98"/>
      <c r="E265" s="98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98"/>
      <c r="E266" s="98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98"/>
      <c r="E267" s="98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98"/>
      <c r="E268" s="98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98"/>
      <c r="E269" s="98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98"/>
      <c r="E270" s="98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98"/>
      <c r="E271" s="98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98"/>
      <c r="E272" s="98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98"/>
      <c r="E273" s="98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98"/>
      <c r="E274" s="98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98"/>
      <c r="E275" s="98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98"/>
      <c r="E276" s="98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98"/>
      <c r="E277" s="98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98"/>
      <c r="E278" s="98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98"/>
      <c r="E279" s="98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98"/>
      <c r="E280" s="98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98"/>
      <c r="E281" s="98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98"/>
      <c r="E282" s="98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98"/>
      <c r="E283" s="98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98"/>
      <c r="E284" s="98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98"/>
      <c r="E285" s="98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98"/>
      <c r="E286" s="98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98"/>
      <c r="E287" s="98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98"/>
      <c r="E288" s="98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98"/>
      <c r="E289" s="98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98"/>
      <c r="E290" s="98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98"/>
      <c r="E291" s="98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98"/>
      <c r="E292" s="98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98"/>
      <c r="E293" s="98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98"/>
      <c r="E294" s="98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98"/>
      <c r="E295" s="98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98"/>
      <c r="E296" s="98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98"/>
      <c r="E297" s="98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98"/>
      <c r="E298" s="98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98"/>
      <c r="E299" s="98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98"/>
      <c r="E300" s="98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98"/>
      <c r="E301" s="98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98"/>
      <c r="E302" s="98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98"/>
      <c r="E303" s="98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98"/>
      <c r="E304" s="98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98"/>
      <c r="E305" s="98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98"/>
      <c r="E306" s="98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98"/>
      <c r="E307" s="98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98"/>
      <c r="E308" s="98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98"/>
      <c r="E309" s="98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98"/>
      <c r="E310" s="98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98"/>
      <c r="E311" s="98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98"/>
      <c r="E312" s="98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98"/>
      <c r="E313" s="98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98"/>
      <c r="E314" s="98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98"/>
      <c r="E315" s="98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98"/>
      <c r="E316" s="98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98"/>
      <c r="E317" s="98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98"/>
      <c r="E318" s="98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98"/>
      <c r="E319" s="98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98"/>
      <c r="E320" s="98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98"/>
      <c r="E321" s="98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98"/>
      <c r="E322" s="98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98"/>
      <c r="E323" s="98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98"/>
      <c r="E324" s="98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98"/>
      <c r="E325" s="98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98"/>
      <c r="E326" s="98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98"/>
      <c r="E327" s="98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98"/>
      <c r="E328" s="98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98"/>
      <c r="E329" s="98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98"/>
      <c r="E330" s="98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98"/>
      <c r="E331" s="98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98"/>
      <c r="E332" s="98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98"/>
      <c r="E333" s="98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98"/>
      <c r="E334" s="98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98"/>
      <c r="E335" s="98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98"/>
      <c r="E336" s="98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98"/>
      <c r="E337" s="98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98"/>
      <c r="E338" s="98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98"/>
      <c r="E339" s="98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98"/>
      <c r="E340" s="98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98"/>
      <c r="E341" s="98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98"/>
      <c r="E342" s="98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98"/>
      <c r="E343" s="98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98"/>
      <c r="E344" s="98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98"/>
      <c r="E345" s="98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98"/>
      <c r="E346" s="98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98"/>
      <c r="E347" s="98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98"/>
      <c r="E348" s="98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98"/>
      <c r="E349" s="98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98"/>
      <c r="E350" s="98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98"/>
      <c r="E351" s="98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98"/>
      <c r="E352" s="98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98"/>
      <c r="E353" s="98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98"/>
      <c r="E354" s="98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98"/>
      <c r="E355" s="98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98"/>
      <c r="E356" s="98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98"/>
      <c r="E357" s="98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98"/>
      <c r="E358" s="98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98"/>
      <c r="E359" s="98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98"/>
      <c r="E360" s="98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98"/>
      <c r="E361" s="98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98"/>
      <c r="E362" s="98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98"/>
      <c r="E363" s="98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98"/>
      <c r="E364" s="98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98"/>
      <c r="E365" s="98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98"/>
      <c r="E366" s="98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98"/>
      <c r="E367" s="98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98"/>
      <c r="E368" s="98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98"/>
      <c r="E369" s="98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98"/>
      <c r="E370" s="98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98"/>
      <c r="E371" s="98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98"/>
      <c r="E372" s="98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98"/>
      <c r="E373" s="98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98"/>
      <c r="E374" s="98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98"/>
      <c r="E375" s="98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98"/>
      <c r="E376" s="98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98"/>
      <c r="E377" s="98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98"/>
      <c r="E378" s="98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98"/>
      <c r="E379" s="98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98"/>
      <c r="E380" s="98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98"/>
      <c r="E381" s="98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98"/>
      <c r="E382" s="98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98"/>
      <c r="E383" s="98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98"/>
      <c r="E384" s="98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98"/>
      <c r="E385" s="98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98"/>
      <c r="E386" s="98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98"/>
      <c r="E387" s="98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98"/>
      <c r="E388" s="98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98"/>
      <c r="E389" s="98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98"/>
      <c r="E390" s="98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98"/>
      <c r="E391" s="98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98"/>
      <c r="E392" s="98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98"/>
      <c r="E393" s="98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98"/>
      <c r="E394" s="98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98"/>
      <c r="E395" s="98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98"/>
      <c r="E396" s="98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98"/>
      <c r="E397" s="98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98"/>
      <c r="E398" s="98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98"/>
      <c r="E399" s="98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98"/>
      <c r="E400" s="98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98"/>
      <c r="E401" s="98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98"/>
      <c r="E402" s="98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98"/>
      <c r="E403" s="98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98"/>
      <c r="E404" s="98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98"/>
      <c r="E405" s="98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98"/>
      <c r="E406" s="98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98"/>
      <c r="E407" s="98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98"/>
      <c r="E408" s="98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98"/>
      <c r="E409" s="98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98"/>
      <c r="E410" s="98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98"/>
      <c r="E411" s="98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98"/>
      <c r="E412" s="98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98"/>
      <c r="E413" s="98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98"/>
      <c r="E414" s="98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98"/>
      <c r="E415" s="98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98"/>
      <c r="E416" s="98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98"/>
      <c r="E417" s="98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98"/>
      <c r="E418" s="98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98"/>
      <c r="E419" s="98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98"/>
      <c r="E420" s="98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98"/>
      <c r="E421" s="98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98"/>
      <c r="E422" s="98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98"/>
      <c r="E423" s="98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98"/>
      <c r="E424" s="98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98"/>
      <c r="E425" s="98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98"/>
      <c r="E426" s="98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98"/>
      <c r="E427" s="98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98"/>
      <c r="E428" s="98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98"/>
      <c r="E429" s="98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98"/>
      <c r="E430" s="98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98"/>
      <c r="E431" s="98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98"/>
      <c r="E432" s="98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98"/>
      <c r="E433" s="98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98"/>
      <c r="E434" s="98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98"/>
      <c r="E435" s="98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98"/>
      <c r="E436" s="98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98"/>
      <c r="E437" s="98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98"/>
      <c r="E438" s="98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98"/>
      <c r="E439" s="98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98"/>
      <c r="E440" s="98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98"/>
      <c r="E441" s="98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98"/>
      <c r="E442" s="98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98"/>
      <c r="E443" s="98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98"/>
      <c r="E444" s="98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98"/>
      <c r="E445" s="98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98"/>
      <c r="E446" s="98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98"/>
      <c r="E447" s="98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98"/>
      <c r="E448" s="98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98"/>
      <c r="E449" s="98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98"/>
      <c r="E450" s="98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98"/>
      <c r="E451" s="98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98"/>
      <c r="E452" s="98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98"/>
      <c r="E453" s="98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98"/>
      <c r="E454" s="98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98"/>
      <c r="E455" s="98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98"/>
      <c r="E456" s="98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98"/>
      <c r="E457" s="98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98"/>
      <c r="E458" s="98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98"/>
      <c r="E459" s="98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98"/>
      <c r="E460" s="98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98"/>
      <c r="E461" s="98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98"/>
      <c r="E462" s="98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98"/>
      <c r="E463" s="98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98"/>
      <c r="E464" s="98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98"/>
      <c r="E465" s="98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98"/>
      <c r="E466" s="98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98"/>
      <c r="E467" s="98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98"/>
      <c r="E468" s="98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98"/>
      <c r="E469" s="98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98"/>
      <c r="E470" s="98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98"/>
      <c r="E471" s="98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98"/>
      <c r="E472" s="98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98"/>
      <c r="E473" s="98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98"/>
      <c r="E474" s="98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98"/>
      <c r="E475" s="98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98"/>
      <c r="E476" s="98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98"/>
      <c r="E477" s="98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98"/>
      <c r="E478" s="98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98"/>
      <c r="E479" s="98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98"/>
      <c r="E480" s="98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98"/>
      <c r="E481" s="98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98"/>
      <c r="E482" s="98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98"/>
      <c r="E483" s="98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98"/>
      <c r="E484" s="98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98"/>
      <c r="E485" s="98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98"/>
      <c r="E486" s="98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98"/>
      <c r="E487" s="98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98"/>
      <c r="E488" s="98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98"/>
      <c r="E489" s="98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98"/>
      <c r="E490" s="98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98"/>
      <c r="E491" s="98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98"/>
      <c r="E492" s="98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98"/>
      <c r="E493" s="98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98"/>
      <c r="E494" s="98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98"/>
      <c r="E495" s="98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98"/>
      <c r="E496" s="98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98"/>
      <c r="E497" s="98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98"/>
      <c r="E498" s="98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98"/>
      <c r="E499" s="98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98"/>
      <c r="E500" s="98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98"/>
      <c r="E501" s="98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98"/>
      <c r="E502" s="98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98"/>
      <c r="E503" s="98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98"/>
      <c r="E504" s="98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98"/>
      <c r="E505" s="98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98"/>
      <c r="E506" s="98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98"/>
      <c r="E507" s="98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98"/>
      <c r="E508" s="98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98"/>
      <c r="E509" s="98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98"/>
      <c r="E510" s="98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98"/>
      <c r="E511" s="98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98"/>
      <c r="E512" s="98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98"/>
      <c r="E513" s="98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98"/>
      <c r="E514" s="98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98"/>
      <c r="E515" s="98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98"/>
      <c r="E516" s="98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98"/>
      <c r="E517" s="98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98"/>
      <c r="E518" s="98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98"/>
      <c r="E519" s="98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98"/>
      <c r="E520" s="98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98"/>
      <c r="E521" s="98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98"/>
      <c r="E522" s="98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98"/>
      <c r="E523" s="98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98"/>
      <c r="E524" s="98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98"/>
      <c r="E525" s="98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98"/>
      <c r="E526" s="98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98"/>
      <c r="E527" s="98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98"/>
      <c r="E528" s="98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98"/>
      <c r="E529" s="98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98"/>
      <c r="E530" s="98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98"/>
      <c r="E531" s="98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98"/>
      <c r="E532" s="98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98"/>
      <c r="E533" s="98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98"/>
      <c r="E534" s="98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98"/>
      <c r="E535" s="98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98"/>
      <c r="E536" s="98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98"/>
      <c r="E537" s="98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98"/>
      <c r="E538" s="98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98"/>
      <c r="E539" s="98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98"/>
      <c r="E540" s="98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98"/>
      <c r="E541" s="98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98"/>
      <c r="E542" s="98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98"/>
      <c r="E543" s="98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98"/>
      <c r="E544" s="98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98"/>
      <c r="E545" s="98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98"/>
      <c r="E546" s="98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98"/>
      <c r="E547" s="98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98"/>
      <c r="E548" s="98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98"/>
      <c r="E549" s="98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98"/>
      <c r="E550" s="98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98"/>
      <c r="E551" s="98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98"/>
      <c r="E552" s="98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98"/>
      <c r="E553" s="98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98"/>
      <c r="E554" s="98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98"/>
      <c r="E555" s="98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98"/>
      <c r="E556" s="98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98"/>
      <c r="E557" s="98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98"/>
      <c r="E558" s="98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98"/>
      <c r="E559" s="98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98"/>
      <c r="E560" s="98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98"/>
      <c r="E561" s="98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98"/>
      <c r="E562" s="98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98"/>
      <c r="E563" s="98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98"/>
      <c r="E564" s="98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98"/>
      <c r="E565" s="98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98"/>
      <c r="E566" s="98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98"/>
      <c r="E567" s="98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98"/>
      <c r="E568" s="98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98"/>
      <c r="E569" s="98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98"/>
      <c r="E570" s="98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98"/>
      <c r="E571" s="98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98"/>
      <c r="E572" s="98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98"/>
      <c r="E573" s="98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98"/>
      <c r="E574" s="98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98"/>
      <c r="E575" s="98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98"/>
      <c r="E576" s="98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98"/>
      <c r="E577" s="98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98"/>
      <c r="E578" s="98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98"/>
      <c r="E579" s="98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98"/>
      <c r="E580" s="98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98"/>
      <c r="E581" s="98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98"/>
      <c r="E582" s="98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98"/>
      <c r="E583" s="98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98"/>
      <c r="E584" s="98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98"/>
      <c r="E585" s="98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98"/>
      <c r="E586" s="98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98"/>
      <c r="E587" s="98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98"/>
      <c r="E588" s="98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98"/>
      <c r="E589" s="98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98"/>
      <c r="E590" s="98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98"/>
      <c r="E591" s="98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98"/>
      <c r="E592" s="98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98"/>
      <c r="E593" s="98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98"/>
      <c r="E594" s="98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98"/>
      <c r="E595" s="98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98"/>
      <c r="E596" s="98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98"/>
      <c r="E597" s="98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98"/>
      <c r="E598" s="98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98"/>
      <c r="E599" s="98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98"/>
      <c r="E600" s="98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98"/>
      <c r="E601" s="98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98"/>
      <c r="E602" s="98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98"/>
      <c r="E603" s="98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98"/>
      <c r="E604" s="98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98"/>
      <c r="E605" s="98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98"/>
      <c r="E606" s="98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98"/>
      <c r="E607" s="98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98"/>
      <c r="E608" s="98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98"/>
      <c r="E609" s="98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98"/>
      <c r="E610" s="98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98"/>
      <c r="E611" s="98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98"/>
      <c r="E612" s="98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98"/>
      <c r="E613" s="98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98"/>
      <c r="E614" s="98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98"/>
      <c r="E615" s="98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98"/>
      <c r="E616" s="98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98"/>
      <c r="E617" s="98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98"/>
      <c r="E618" s="98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98"/>
      <c r="E619" s="98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98"/>
      <c r="E620" s="98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98"/>
      <c r="E621" s="98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98"/>
      <c r="E622" s="98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98"/>
      <c r="E623" s="98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98"/>
      <c r="E624" s="98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98"/>
      <c r="E625" s="98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98"/>
      <c r="E626" s="98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98"/>
      <c r="E627" s="98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98"/>
      <c r="E628" s="98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98"/>
      <c r="E629" s="98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98"/>
      <c r="E630" s="98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98"/>
      <c r="E631" s="98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98"/>
      <c r="E632" s="98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98"/>
      <c r="E633" s="98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98"/>
      <c r="E634" s="98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98"/>
      <c r="E635" s="98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98"/>
      <c r="E636" s="98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98"/>
      <c r="E637" s="98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98"/>
      <c r="E638" s="98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98"/>
      <c r="E639" s="98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98"/>
      <c r="E640" s="98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98"/>
      <c r="E641" s="98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98"/>
      <c r="E642" s="98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98"/>
      <c r="E643" s="98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98"/>
      <c r="E644" s="98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98"/>
      <c r="E645" s="98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98"/>
      <c r="E646" s="98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98"/>
      <c r="E647" s="98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98"/>
      <c r="E648" s="98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98"/>
      <c r="E649" s="98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98"/>
      <c r="E650" s="98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98"/>
      <c r="E651" s="98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98"/>
      <c r="E652" s="98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98"/>
      <c r="E653" s="98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98"/>
      <c r="E654" s="98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98"/>
      <c r="E655" s="98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98"/>
      <c r="E656" s="98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98"/>
      <c r="E657" s="98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98"/>
      <c r="E658" s="98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98"/>
      <c r="E659" s="98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98"/>
      <c r="E660" s="98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98"/>
      <c r="E661" s="98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98"/>
      <c r="E662" s="98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98"/>
      <c r="E663" s="98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98"/>
      <c r="E664" s="98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98"/>
      <c r="E665" s="98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98"/>
      <c r="E666" s="98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98"/>
      <c r="E667" s="98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98"/>
      <c r="E668" s="98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98"/>
      <c r="E669" s="98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98"/>
      <c r="E670" s="98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98"/>
      <c r="E671" s="98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98"/>
      <c r="E672" s="98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98"/>
      <c r="E673" s="98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98"/>
      <c r="E674" s="98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98"/>
      <c r="E675" s="98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98"/>
      <c r="E676" s="98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98"/>
      <c r="E677" s="98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98"/>
      <c r="E678" s="98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98"/>
      <c r="E679" s="98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98"/>
      <c r="E680" s="98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98"/>
      <c r="E681" s="98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98"/>
      <c r="E682" s="98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98"/>
      <c r="E683" s="98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98"/>
      <c r="E684" s="98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98"/>
      <c r="E685" s="98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98"/>
      <c r="E686" s="98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98"/>
      <c r="E687" s="98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98"/>
      <c r="E688" s="98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98"/>
      <c r="E689" s="98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98"/>
      <c r="E690" s="98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98"/>
      <c r="E691" s="98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98"/>
      <c r="E692" s="98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98"/>
      <c r="E693" s="98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98"/>
      <c r="E694" s="98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98"/>
      <c r="E695" s="98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98"/>
      <c r="E696" s="98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98"/>
      <c r="E697" s="98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98"/>
      <c r="E698" s="98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98"/>
      <c r="E699" s="98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98"/>
      <c r="E700" s="98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98"/>
      <c r="E701" s="98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98"/>
      <c r="E702" s="98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98"/>
      <c r="E703" s="98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98"/>
      <c r="E704" s="98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98"/>
      <c r="E705" s="98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98"/>
      <c r="E706" s="98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98"/>
      <c r="E707" s="98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98"/>
      <c r="E708" s="98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98"/>
      <c r="E709" s="98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98"/>
      <c r="E710" s="98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98"/>
      <c r="E711" s="98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98"/>
      <c r="E712" s="98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98"/>
      <c r="E713" s="98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98"/>
      <c r="E714" s="98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98"/>
      <c r="E715" s="98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98"/>
      <c r="E716" s="98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98"/>
      <c r="E717" s="98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98"/>
      <c r="E718" s="98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98"/>
      <c r="E719" s="98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98"/>
      <c r="E720" s="98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98"/>
      <c r="E721" s="98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98"/>
      <c r="E722" s="98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98"/>
      <c r="E723" s="98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98"/>
      <c r="E724" s="98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98"/>
      <c r="E725" s="98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98"/>
      <c r="E726" s="98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98"/>
      <c r="E727" s="98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98"/>
      <c r="E728" s="98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98"/>
      <c r="E729" s="98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98"/>
      <c r="E730" s="98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98"/>
      <c r="E731" s="98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98"/>
      <c r="E732" s="98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98"/>
      <c r="E733" s="98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98"/>
      <c r="E734" s="98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98"/>
      <c r="E735" s="98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98"/>
      <c r="E736" s="98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98"/>
      <c r="E737" s="98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98"/>
      <c r="E738" s="98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98"/>
      <c r="E739" s="98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98"/>
      <c r="E740" s="98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98"/>
      <c r="E741" s="98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98"/>
      <c r="E742" s="98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98"/>
      <c r="E743" s="98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98"/>
      <c r="E744" s="98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98"/>
      <c r="E745" s="98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98"/>
      <c r="E746" s="98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98"/>
      <c r="E747" s="98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98"/>
      <c r="E748" s="98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98"/>
      <c r="E749" s="98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98"/>
      <c r="E750" s="98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98"/>
      <c r="E751" s="98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98"/>
      <c r="E752" s="98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98"/>
      <c r="E753" s="98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98"/>
      <c r="E754" s="98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98"/>
      <c r="E755" s="98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98"/>
      <c r="E756" s="98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98"/>
      <c r="E757" s="98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98"/>
      <c r="E758" s="98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98"/>
      <c r="E759" s="98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98"/>
      <c r="E760" s="98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98"/>
      <c r="E761" s="98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98"/>
      <c r="E762" s="98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98"/>
      <c r="E763" s="98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98"/>
      <c r="E764" s="98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98"/>
      <c r="E765" s="98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98"/>
      <c r="E766" s="98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98"/>
      <c r="E767" s="98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98"/>
      <c r="E768" s="98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98"/>
      <c r="E769" s="98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98"/>
      <c r="E770" s="98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98"/>
      <c r="E771" s="98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98"/>
      <c r="E772" s="98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98"/>
      <c r="E773" s="98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98"/>
      <c r="E774" s="98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98"/>
      <c r="E775" s="98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98"/>
      <c r="E776" s="98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98"/>
      <c r="E777" s="98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98"/>
      <c r="E778" s="98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98"/>
      <c r="E779" s="98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98"/>
      <c r="E780" s="98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98"/>
      <c r="E781" s="98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98"/>
      <c r="E782" s="98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98"/>
      <c r="E783" s="98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98"/>
      <c r="E784" s="98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98"/>
      <c r="E785" s="98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98"/>
      <c r="E786" s="98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98"/>
      <c r="E787" s="98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98"/>
      <c r="E788" s="98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98"/>
      <c r="E789" s="98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98"/>
      <c r="E790" s="98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98"/>
      <c r="E791" s="98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98"/>
      <c r="E792" s="98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98"/>
      <c r="E793" s="98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98"/>
      <c r="E794" s="98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98"/>
      <c r="E795" s="98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98"/>
      <c r="E796" s="98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98"/>
      <c r="E797" s="98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98"/>
      <c r="E798" s="98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98"/>
      <c r="E799" s="98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98"/>
      <c r="E800" s="98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98"/>
      <c r="E801" s="98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98"/>
      <c r="E802" s="98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98"/>
      <c r="E803" s="98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98"/>
      <c r="E804" s="98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98"/>
      <c r="E805" s="98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98"/>
      <c r="E806" s="98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98"/>
      <c r="E807" s="98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98"/>
      <c r="E808" s="98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98"/>
      <c r="E809" s="98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98"/>
      <c r="E810" s="98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98"/>
      <c r="E811" s="98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98"/>
      <c r="E812" s="98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98"/>
      <c r="E813" s="98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98"/>
      <c r="E814" s="98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98"/>
      <c r="E815" s="98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98"/>
      <c r="E816" s="98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98"/>
      <c r="E817" s="98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98"/>
      <c r="E818" s="98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98"/>
      <c r="E819" s="98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98"/>
      <c r="E820" s="98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98"/>
      <c r="E821" s="98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98"/>
      <c r="E822" s="98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98"/>
      <c r="E823" s="98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98"/>
      <c r="E824" s="98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98"/>
      <c r="E825" s="98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98"/>
      <c r="E826" s="98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98"/>
      <c r="E827" s="98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98"/>
      <c r="E828" s="98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98"/>
      <c r="E829" s="98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98"/>
      <c r="E830" s="98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98"/>
      <c r="E831" s="98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98"/>
      <c r="E832" s="98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98"/>
      <c r="E833" s="98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98"/>
      <c r="E834" s="98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98"/>
      <c r="E835" s="98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98"/>
      <c r="E836" s="98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98"/>
      <c r="E837" s="98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98"/>
      <c r="E838" s="98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98"/>
      <c r="E839" s="98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98"/>
      <c r="E840" s="98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98"/>
      <c r="E841" s="98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98"/>
      <c r="E842" s="98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98"/>
      <c r="E843" s="98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98"/>
      <c r="E844" s="98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98"/>
      <c r="E845" s="98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98"/>
      <c r="E846" s="98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98"/>
      <c r="E847" s="98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98"/>
      <c r="E848" s="98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98"/>
      <c r="E849" s="98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98"/>
      <c r="E850" s="98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98"/>
      <c r="E851" s="98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98"/>
      <c r="E852" s="98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98"/>
      <c r="E853" s="98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98"/>
      <c r="E854" s="98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98"/>
      <c r="E855" s="98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98"/>
      <c r="E856" s="98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98"/>
      <c r="E857" s="98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98"/>
      <c r="E858" s="98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98"/>
      <c r="E859" s="98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98"/>
      <c r="E860" s="98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98"/>
      <c r="E861" s="98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98"/>
      <c r="E862" s="98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98"/>
      <c r="E863" s="98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98"/>
      <c r="E864" s="98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98"/>
      <c r="E865" s="98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98"/>
      <c r="E866" s="98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98"/>
      <c r="E867" s="98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98"/>
      <c r="E868" s="98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98"/>
      <c r="E869" s="98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98"/>
      <c r="E870" s="98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98"/>
      <c r="E871" s="98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98"/>
      <c r="E872" s="98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98"/>
      <c r="E873" s="98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98"/>
      <c r="E874" s="98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98"/>
      <c r="E875" s="98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98"/>
      <c r="E876" s="98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98"/>
      <c r="E877" s="98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98"/>
      <c r="E878" s="98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98"/>
      <c r="E879" s="98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98"/>
      <c r="E880" s="98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98"/>
      <c r="E881" s="98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98"/>
      <c r="E882" s="98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98"/>
      <c r="E883" s="98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98"/>
      <c r="E884" s="98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98"/>
      <c r="E885" s="98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98"/>
      <c r="E886" s="98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98"/>
      <c r="E887" s="98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98"/>
      <c r="E888" s="98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98"/>
      <c r="E889" s="98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98"/>
      <c r="E890" s="98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98"/>
      <c r="E891" s="98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98"/>
      <c r="E892" s="98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98"/>
      <c r="E893" s="98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98"/>
      <c r="E894" s="98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98"/>
      <c r="E895" s="98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98"/>
      <c r="E896" s="98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98"/>
      <c r="E897" s="98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98"/>
      <c r="E898" s="98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98"/>
      <c r="E899" s="98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98"/>
      <c r="E900" s="98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98"/>
      <c r="E901" s="98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98"/>
      <c r="E902" s="98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98"/>
      <c r="E903" s="98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98"/>
      <c r="E904" s="98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98"/>
      <c r="E905" s="98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98"/>
      <c r="E906" s="98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98"/>
      <c r="E907" s="98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98"/>
      <c r="E908" s="98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98"/>
      <c r="E909" s="98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98"/>
      <c r="E910" s="98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98"/>
      <c r="E911" s="98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98"/>
      <c r="E912" s="98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98"/>
      <c r="E913" s="98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98"/>
      <c r="E914" s="98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98"/>
      <c r="E915" s="98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98"/>
      <c r="E916" s="98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98"/>
      <c r="E917" s="98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98"/>
      <c r="E918" s="98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98"/>
      <c r="E919" s="98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98"/>
      <c r="E920" s="98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98"/>
      <c r="E921" s="98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98"/>
      <c r="E922" s="98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98"/>
      <c r="E923" s="98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98"/>
      <c r="E924" s="98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98"/>
      <c r="E925" s="98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98"/>
      <c r="E926" s="98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98"/>
      <c r="E927" s="98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98"/>
      <c r="E928" s="98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98"/>
      <c r="E929" s="98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98"/>
      <c r="E930" s="98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98"/>
      <c r="E931" s="98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98"/>
      <c r="E932" s="98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98"/>
      <c r="E933" s="98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98"/>
      <c r="E934" s="98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98"/>
      <c r="E935" s="98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98"/>
      <c r="E936" s="98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98"/>
      <c r="E937" s="98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98"/>
      <c r="E938" s="98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98"/>
      <c r="E939" s="98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98"/>
      <c r="E940" s="98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98"/>
      <c r="E941" s="98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98"/>
      <c r="E942" s="98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98"/>
      <c r="E943" s="98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98"/>
      <c r="E944" s="98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98"/>
      <c r="E945" s="98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98"/>
      <c r="E946" s="98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98"/>
      <c r="E947" s="98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98"/>
      <c r="E948" s="98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98"/>
      <c r="E949" s="98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98"/>
      <c r="E950" s="98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98"/>
      <c r="E951" s="98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98"/>
      <c r="E952" s="98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98"/>
      <c r="E953" s="98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98"/>
      <c r="E954" s="98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98"/>
      <c r="E955" s="98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98"/>
      <c r="E956" s="98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98"/>
      <c r="E957" s="98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98"/>
      <c r="E958" s="98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98"/>
      <c r="E959" s="98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98"/>
      <c r="E960" s="98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98"/>
      <c r="E961" s="98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98"/>
      <c r="E962" s="98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98"/>
      <c r="E963" s="98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98"/>
      <c r="E964" s="98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98"/>
      <c r="E965" s="98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98"/>
      <c r="E966" s="98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98"/>
      <c r="E967" s="98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98"/>
      <c r="E968" s="98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98"/>
      <c r="E969" s="98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98"/>
      <c r="E970" s="98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98"/>
      <c r="E971" s="98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98"/>
      <c r="E972" s="98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98"/>
      <c r="E973" s="98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98"/>
      <c r="E974" s="98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98"/>
      <c r="E975" s="98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98"/>
      <c r="E976" s="98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98"/>
      <c r="E977" s="9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98"/>
      <c r="E978" s="9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98"/>
      <c r="E979" s="9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98"/>
      <c r="E980" s="9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98"/>
      <c r="E981" s="9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98"/>
      <c r="E982" s="9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98"/>
      <c r="E983" s="9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98"/>
      <c r="E984" s="9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98"/>
      <c r="E985" s="98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98"/>
      <c r="E986" s="9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98"/>
      <c r="E987" s="9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98"/>
      <c r="E988" s="9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98"/>
      <c r="E989" s="9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98"/>
      <c r="E990" s="9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98"/>
      <c r="E991" s="9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98"/>
      <c r="E992" s="9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98"/>
      <c r="E993" s="98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98"/>
      <c r="E994" s="98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98"/>
      <c r="E995" s="98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98"/>
      <c r="E996" s="98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98"/>
      <c r="E997" s="98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98"/>
      <c r="E998" s="98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98"/>
      <c r="E999" s="98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98"/>
      <c r="E1000" s="98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mergeCells count="2">
    <mergeCell ref="K11:K13"/>
    <mergeCell ref="L11:L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36</v>
      </c>
      <c r="B1" s="30" t="s">
        <v>37</v>
      </c>
      <c r="C1" s="31" t="s">
        <v>38</v>
      </c>
      <c r="E1" s="31" t="s">
        <v>39</v>
      </c>
      <c r="F1" s="32"/>
      <c r="G1" s="31" t="s">
        <v>40</v>
      </c>
    </row>
    <row r="2">
      <c r="A2" s="33"/>
      <c r="B2" s="30" t="s">
        <v>41</v>
      </c>
      <c r="C2" s="34" t="s">
        <v>42</v>
      </c>
      <c r="D2" s="35" t="s">
        <v>43</v>
      </c>
      <c r="E2" s="34" t="s">
        <v>42</v>
      </c>
      <c r="F2" s="35" t="s">
        <v>43</v>
      </c>
      <c r="G2" s="34" t="s">
        <v>42</v>
      </c>
      <c r="H2" s="35" t="s">
        <v>43</v>
      </c>
    </row>
    <row r="3">
      <c r="A3" s="36" t="s">
        <v>44</v>
      </c>
      <c r="B3" s="37"/>
      <c r="C3" s="38"/>
      <c r="D3" s="39"/>
      <c r="E3" s="38"/>
      <c r="F3" s="39"/>
      <c r="G3" s="38"/>
      <c r="H3" s="39"/>
    </row>
    <row r="4">
      <c r="A4" s="33" t="s">
        <v>45</v>
      </c>
      <c r="B4" s="40">
        <v>450.0</v>
      </c>
      <c r="C4" s="38"/>
      <c r="D4" s="41">
        <f t="shared" ref="D4:D9" si="1">B4*C4</f>
        <v>0</v>
      </c>
      <c r="E4" s="38"/>
      <c r="F4" s="41">
        <f t="shared" ref="F4:F9" si="2">B4*E4</f>
        <v>0</v>
      </c>
      <c r="G4" s="38"/>
      <c r="H4" s="41">
        <f t="shared" ref="H4:H48" si="3">B4*G4</f>
        <v>0</v>
      </c>
    </row>
    <row r="5">
      <c r="A5" s="33" t="s">
        <v>46</v>
      </c>
      <c r="B5" s="40">
        <v>350.0</v>
      </c>
      <c r="C5" s="38"/>
      <c r="D5" s="41">
        <f t="shared" si="1"/>
        <v>0</v>
      </c>
      <c r="E5" s="38"/>
      <c r="F5" s="41">
        <f t="shared" si="2"/>
        <v>0</v>
      </c>
      <c r="G5" s="38"/>
      <c r="H5" s="41">
        <f t="shared" si="3"/>
        <v>0</v>
      </c>
    </row>
    <row r="6">
      <c r="A6" s="33" t="s">
        <v>47</v>
      </c>
      <c r="B6" s="40">
        <v>250.0</v>
      </c>
      <c r="C6" s="38"/>
      <c r="D6" s="41">
        <f t="shared" si="1"/>
        <v>0</v>
      </c>
      <c r="E6" s="44"/>
      <c r="F6" s="41">
        <f t="shared" si="2"/>
        <v>0</v>
      </c>
      <c r="G6" s="38"/>
      <c r="H6" s="41">
        <f t="shared" si="3"/>
        <v>0</v>
      </c>
    </row>
    <row r="7">
      <c r="A7" s="33" t="s">
        <v>48</v>
      </c>
      <c r="B7" s="40">
        <v>200.0</v>
      </c>
      <c r="C7" s="38"/>
      <c r="D7" s="41">
        <f t="shared" si="1"/>
        <v>0</v>
      </c>
      <c r="E7" s="38"/>
      <c r="F7" s="41">
        <f t="shared" si="2"/>
        <v>0</v>
      </c>
      <c r="G7" s="38"/>
      <c r="H7" s="41">
        <f t="shared" si="3"/>
        <v>0</v>
      </c>
    </row>
    <row r="8">
      <c r="A8" s="33" t="s">
        <v>49</v>
      </c>
      <c r="B8" s="40">
        <v>200.0</v>
      </c>
      <c r="C8" s="38"/>
      <c r="D8" s="41">
        <f t="shared" si="1"/>
        <v>0</v>
      </c>
      <c r="E8" s="38"/>
      <c r="F8" s="41">
        <f t="shared" si="2"/>
        <v>0</v>
      </c>
      <c r="G8" s="38"/>
      <c r="H8" s="41">
        <f t="shared" si="3"/>
        <v>0</v>
      </c>
    </row>
    <row r="9">
      <c r="A9" s="33" t="s">
        <v>50</v>
      </c>
      <c r="B9" s="40">
        <v>200.0</v>
      </c>
      <c r="C9" s="42">
        <v>8.0</v>
      </c>
      <c r="D9" s="41">
        <f t="shared" si="1"/>
        <v>1600</v>
      </c>
      <c r="E9" s="43">
        <v>32.0</v>
      </c>
      <c r="F9" s="41">
        <f t="shared" si="2"/>
        <v>6400</v>
      </c>
      <c r="G9" s="42">
        <v>32.0</v>
      </c>
      <c r="H9" s="41">
        <f t="shared" si="3"/>
        <v>6400</v>
      </c>
    </row>
    <row r="10">
      <c r="A10" s="33"/>
      <c r="B10" s="37"/>
      <c r="C10" s="38"/>
      <c r="D10" s="39"/>
      <c r="E10" s="38"/>
      <c r="F10" s="39"/>
      <c r="G10" s="38"/>
      <c r="H10" s="41">
        <f t="shared" si="3"/>
        <v>0</v>
      </c>
    </row>
    <row r="11">
      <c r="A11" s="36" t="s">
        <v>51</v>
      </c>
      <c r="B11" s="37"/>
      <c r="C11" s="38"/>
      <c r="D11" s="39"/>
      <c r="E11" s="38"/>
      <c r="F11" s="39"/>
      <c r="G11" s="38"/>
      <c r="H11" s="41">
        <f t="shared" si="3"/>
        <v>0</v>
      </c>
    </row>
    <row r="12">
      <c r="A12" s="33" t="s">
        <v>52</v>
      </c>
      <c r="B12" s="40">
        <v>250.0</v>
      </c>
      <c r="C12" s="38"/>
      <c r="D12" s="41">
        <f t="shared" ref="D12:D15" si="4">B12*C12</f>
        <v>0</v>
      </c>
      <c r="E12" s="38"/>
      <c r="F12" s="41">
        <f t="shared" ref="F12:F15" si="5">B12*E12</f>
        <v>0</v>
      </c>
      <c r="G12" s="38"/>
      <c r="H12" s="41">
        <f t="shared" si="3"/>
        <v>0</v>
      </c>
    </row>
    <row r="13">
      <c r="A13" s="33" t="s">
        <v>53</v>
      </c>
      <c r="B13" s="40">
        <v>180.0</v>
      </c>
      <c r="C13" s="38"/>
      <c r="D13" s="41">
        <f t="shared" si="4"/>
        <v>0</v>
      </c>
      <c r="E13" s="38"/>
      <c r="F13" s="41">
        <f t="shared" si="5"/>
        <v>0</v>
      </c>
      <c r="G13" s="38"/>
      <c r="H13" s="41">
        <f t="shared" si="3"/>
        <v>0</v>
      </c>
    </row>
    <row r="14">
      <c r="A14" s="33" t="s">
        <v>54</v>
      </c>
      <c r="B14" s="40">
        <v>150.0</v>
      </c>
      <c r="C14" s="38"/>
      <c r="D14" s="41">
        <f t="shared" si="4"/>
        <v>0</v>
      </c>
      <c r="E14" s="38"/>
      <c r="F14" s="41">
        <f t="shared" si="5"/>
        <v>0</v>
      </c>
      <c r="G14" s="38"/>
      <c r="H14" s="41">
        <f t="shared" si="3"/>
        <v>0</v>
      </c>
    </row>
    <row r="15">
      <c r="A15" s="33" t="s">
        <v>55</v>
      </c>
      <c r="B15" s="40">
        <v>120.0</v>
      </c>
      <c r="C15" s="38"/>
      <c r="D15" s="41">
        <f t="shared" si="4"/>
        <v>0</v>
      </c>
      <c r="E15" s="38"/>
      <c r="F15" s="41">
        <f t="shared" si="5"/>
        <v>0</v>
      </c>
      <c r="G15" s="38"/>
      <c r="H15" s="41">
        <f t="shared" si="3"/>
        <v>0</v>
      </c>
    </row>
    <row r="16">
      <c r="A16" s="33"/>
      <c r="B16" s="37"/>
      <c r="C16" s="38"/>
      <c r="D16" s="39"/>
      <c r="E16" s="38"/>
      <c r="F16" s="39"/>
      <c r="G16" s="38"/>
      <c r="H16" s="41">
        <f t="shared" si="3"/>
        <v>0</v>
      </c>
    </row>
    <row r="17">
      <c r="A17" s="36" t="s">
        <v>56</v>
      </c>
      <c r="B17" s="37"/>
      <c r="C17" s="38"/>
      <c r="D17" s="39"/>
      <c r="E17" s="38"/>
      <c r="F17" s="39"/>
      <c r="G17" s="38"/>
      <c r="H17" s="41">
        <f t="shared" si="3"/>
        <v>0</v>
      </c>
    </row>
    <row r="18">
      <c r="A18" s="33" t="s">
        <v>57</v>
      </c>
      <c r="B18" s="40">
        <v>200.0</v>
      </c>
      <c r="C18" s="38"/>
      <c r="D18" s="41">
        <f t="shared" ref="D18:D20" si="6">B18*C18</f>
        <v>0</v>
      </c>
      <c r="E18" s="38"/>
      <c r="F18" s="41">
        <f t="shared" ref="F18:F20" si="7">B18*E18</f>
        <v>0</v>
      </c>
      <c r="G18" s="38"/>
      <c r="H18" s="41">
        <f t="shared" si="3"/>
        <v>0</v>
      </c>
    </row>
    <row r="19">
      <c r="A19" s="33" t="s">
        <v>58</v>
      </c>
      <c r="B19" s="40">
        <v>200.0</v>
      </c>
      <c r="C19" s="38"/>
      <c r="D19" s="41">
        <f t="shared" si="6"/>
        <v>0</v>
      </c>
      <c r="E19" s="38"/>
      <c r="F19" s="41">
        <f t="shared" si="7"/>
        <v>0</v>
      </c>
      <c r="G19" s="38"/>
      <c r="H19" s="41">
        <f t="shared" si="3"/>
        <v>0</v>
      </c>
    </row>
    <row r="20">
      <c r="A20" s="33" t="s">
        <v>59</v>
      </c>
      <c r="B20" s="40">
        <v>100.0</v>
      </c>
      <c r="C20" s="38"/>
      <c r="D20" s="41">
        <f t="shared" si="6"/>
        <v>0</v>
      </c>
      <c r="E20" s="38"/>
      <c r="F20" s="41">
        <f t="shared" si="7"/>
        <v>0</v>
      </c>
      <c r="G20" s="38"/>
      <c r="H20" s="41">
        <f t="shared" si="3"/>
        <v>0</v>
      </c>
    </row>
    <row r="21">
      <c r="A21" s="33"/>
      <c r="B21" s="37"/>
      <c r="C21" s="38"/>
      <c r="D21" s="39"/>
      <c r="E21" s="38"/>
      <c r="F21" s="39"/>
      <c r="G21" s="38"/>
      <c r="H21" s="41">
        <f t="shared" si="3"/>
        <v>0</v>
      </c>
    </row>
    <row r="22">
      <c r="A22" s="36" t="s">
        <v>60</v>
      </c>
      <c r="B22" s="37"/>
      <c r="C22" s="38"/>
      <c r="D22" s="39"/>
      <c r="E22" s="38"/>
      <c r="F22" s="39"/>
      <c r="G22" s="38"/>
      <c r="H22" s="41">
        <f t="shared" si="3"/>
        <v>0</v>
      </c>
    </row>
    <row r="23">
      <c r="A23" s="33" t="s">
        <v>61</v>
      </c>
      <c r="B23" s="40">
        <v>350.0</v>
      </c>
      <c r="C23" s="38"/>
      <c r="D23" s="41">
        <f t="shared" ref="D23:D28" si="8">B23*C23</f>
        <v>0</v>
      </c>
      <c r="E23" s="38"/>
      <c r="F23" s="41">
        <f t="shared" ref="F23:F28" si="9">B23*E23</f>
        <v>0</v>
      </c>
      <c r="G23" s="38"/>
      <c r="H23" s="41">
        <f t="shared" si="3"/>
        <v>0</v>
      </c>
    </row>
    <row r="24">
      <c r="A24" s="33" t="s">
        <v>62</v>
      </c>
      <c r="B24" s="40">
        <v>225.0</v>
      </c>
      <c r="C24" s="38"/>
      <c r="D24" s="41">
        <f t="shared" si="8"/>
        <v>0</v>
      </c>
      <c r="E24" s="38"/>
      <c r="F24" s="41">
        <f t="shared" si="9"/>
        <v>0</v>
      </c>
      <c r="G24" s="38"/>
      <c r="H24" s="41">
        <f t="shared" si="3"/>
        <v>0</v>
      </c>
    </row>
    <row r="25">
      <c r="A25" s="33" t="s">
        <v>63</v>
      </c>
      <c r="B25" s="40">
        <v>180.0</v>
      </c>
      <c r="C25" s="38"/>
      <c r="D25" s="41">
        <f t="shared" si="8"/>
        <v>0</v>
      </c>
      <c r="E25" s="38"/>
      <c r="F25" s="41">
        <f t="shared" si="9"/>
        <v>0</v>
      </c>
      <c r="G25" s="38"/>
      <c r="H25" s="41">
        <f t="shared" si="3"/>
        <v>0</v>
      </c>
    </row>
    <row r="26">
      <c r="A26" s="33" t="s">
        <v>64</v>
      </c>
      <c r="B26" s="40">
        <v>150.0</v>
      </c>
      <c r="C26" s="38"/>
      <c r="D26" s="41">
        <f t="shared" si="8"/>
        <v>0</v>
      </c>
      <c r="E26" s="38"/>
      <c r="F26" s="41">
        <f t="shared" si="9"/>
        <v>0</v>
      </c>
      <c r="G26" s="38"/>
      <c r="H26" s="41">
        <f t="shared" si="3"/>
        <v>0</v>
      </c>
    </row>
    <row r="27">
      <c r="A27" s="33" t="s">
        <v>65</v>
      </c>
      <c r="B27" s="40">
        <v>180.0</v>
      </c>
      <c r="C27" s="38"/>
      <c r="D27" s="41">
        <f t="shared" si="8"/>
        <v>0</v>
      </c>
      <c r="E27" s="38"/>
      <c r="F27" s="41">
        <f t="shared" si="9"/>
        <v>0</v>
      </c>
      <c r="G27" s="38"/>
      <c r="H27" s="41">
        <f t="shared" si="3"/>
        <v>0</v>
      </c>
    </row>
    <row r="28">
      <c r="A28" s="33" t="s">
        <v>66</v>
      </c>
      <c r="B28" s="40">
        <v>200.0</v>
      </c>
      <c r="C28" s="38"/>
      <c r="D28" s="41">
        <f t="shared" si="8"/>
        <v>0</v>
      </c>
      <c r="E28" s="38"/>
      <c r="F28" s="41">
        <f t="shared" si="9"/>
        <v>0</v>
      </c>
      <c r="G28" s="38"/>
      <c r="H28" s="41">
        <f t="shared" si="3"/>
        <v>0</v>
      </c>
    </row>
    <row r="29">
      <c r="A29" s="33"/>
      <c r="B29" s="37"/>
      <c r="C29" s="38"/>
      <c r="D29" s="39"/>
      <c r="E29" s="38"/>
      <c r="F29" s="39"/>
      <c r="G29" s="38"/>
      <c r="H29" s="41">
        <f t="shared" si="3"/>
        <v>0</v>
      </c>
    </row>
    <row r="30">
      <c r="A30" s="36" t="s">
        <v>67</v>
      </c>
      <c r="B30" s="37"/>
      <c r="C30" s="38"/>
      <c r="D30" s="39"/>
      <c r="E30" s="38"/>
      <c r="F30" s="39"/>
      <c r="G30" s="38"/>
      <c r="H30" s="41">
        <f t="shared" si="3"/>
        <v>0</v>
      </c>
    </row>
    <row r="31">
      <c r="A31" s="33" t="s">
        <v>68</v>
      </c>
      <c r="B31" s="40">
        <v>250.0</v>
      </c>
      <c r="C31" s="38"/>
      <c r="D31" s="41">
        <f t="shared" ref="D31:D32" si="10">B31*C31</f>
        <v>0</v>
      </c>
      <c r="E31" s="38"/>
      <c r="F31" s="41">
        <f t="shared" ref="F31:F32" si="11">B31*E31</f>
        <v>0</v>
      </c>
      <c r="G31" s="38"/>
      <c r="H31" s="41">
        <f t="shared" si="3"/>
        <v>0</v>
      </c>
    </row>
    <row r="32">
      <c r="A32" s="33" t="s">
        <v>69</v>
      </c>
      <c r="B32" s="40">
        <v>180.0</v>
      </c>
      <c r="C32" s="38"/>
      <c r="D32" s="41">
        <f t="shared" si="10"/>
        <v>0</v>
      </c>
      <c r="E32" s="38"/>
      <c r="F32" s="41">
        <f t="shared" si="11"/>
        <v>0</v>
      </c>
      <c r="G32" s="38"/>
      <c r="H32" s="41">
        <f t="shared" si="3"/>
        <v>0</v>
      </c>
    </row>
    <row r="33">
      <c r="A33" s="33"/>
      <c r="B33" s="37"/>
      <c r="C33" s="38"/>
      <c r="D33" s="39"/>
      <c r="E33" s="38"/>
      <c r="F33" s="39"/>
      <c r="G33" s="38"/>
      <c r="H33" s="41">
        <f t="shared" si="3"/>
        <v>0</v>
      </c>
    </row>
    <row r="34">
      <c r="A34" s="36" t="s">
        <v>70</v>
      </c>
      <c r="B34" s="37"/>
      <c r="C34" s="38"/>
      <c r="D34" s="39"/>
      <c r="E34" s="38"/>
      <c r="F34" s="39"/>
      <c r="G34" s="38"/>
      <c r="H34" s="41">
        <f t="shared" si="3"/>
        <v>0</v>
      </c>
    </row>
    <row r="35">
      <c r="A35" s="33" t="s">
        <v>71</v>
      </c>
      <c r="B35" s="40">
        <v>250.0</v>
      </c>
      <c r="C35" s="44"/>
      <c r="D35" s="41">
        <f t="shared" ref="D35:D39" si="12">B35*C35</f>
        <v>0</v>
      </c>
      <c r="E35" s="44"/>
      <c r="F35" s="41">
        <f t="shared" ref="F35:F39" si="13">B35*E35</f>
        <v>0</v>
      </c>
      <c r="G35" s="38"/>
      <c r="H35" s="41">
        <f t="shared" si="3"/>
        <v>0</v>
      </c>
    </row>
    <row r="36">
      <c r="A36" s="33" t="s">
        <v>72</v>
      </c>
      <c r="B36" s="40">
        <v>200.0</v>
      </c>
      <c r="C36" s="38"/>
      <c r="D36" s="41">
        <f t="shared" si="12"/>
        <v>0</v>
      </c>
      <c r="E36" s="38"/>
      <c r="F36" s="41">
        <f t="shared" si="13"/>
        <v>0</v>
      </c>
      <c r="G36" s="38"/>
      <c r="H36" s="41">
        <f t="shared" si="3"/>
        <v>0</v>
      </c>
    </row>
    <row r="37">
      <c r="A37" s="33" t="s">
        <v>73</v>
      </c>
      <c r="B37" s="40">
        <v>180.0</v>
      </c>
      <c r="C37" s="38"/>
      <c r="D37" s="41">
        <f t="shared" si="12"/>
        <v>0</v>
      </c>
      <c r="E37" s="44"/>
      <c r="F37" s="41">
        <f t="shared" si="13"/>
        <v>0</v>
      </c>
      <c r="G37" s="38"/>
      <c r="H37" s="41">
        <f t="shared" si="3"/>
        <v>0</v>
      </c>
    </row>
    <row r="38">
      <c r="A38" s="33" t="s">
        <v>74</v>
      </c>
      <c r="B38" s="40">
        <v>150.0</v>
      </c>
      <c r="C38" s="44"/>
      <c r="D38" s="41">
        <f t="shared" si="12"/>
        <v>0</v>
      </c>
      <c r="E38" s="38"/>
      <c r="F38" s="41">
        <f t="shared" si="13"/>
        <v>0</v>
      </c>
      <c r="G38" s="38"/>
      <c r="H38" s="41">
        <f t="shared" si="3"/>
        <v>0</v>
      </c>
    </row>
    <row r="39">
      <c r="A39" s="45" t="s">
        <v>75</v>
      </c>
      <c r="B39" s="40">
        <v>120.0</v>
      </c>
      <c r="C39" s="38"/>
      <c r="D39" s="41">
        <f t="shared" si="12"/>
        <v>0</v>
      </c>
      <c r="E39" s="38"/>
      <c r="F39" s="41">
        <f t="shared" si="13"/>
        <v>0</v>
      </c>
      <c r="G39" s="38"/>
      <c r="H39" s="41">
        <f t="shared" si="3"/>
        <v>0</v>
      </c>
    </row>
    <row r="40">
      <c r="A40" s="33"/>
      <c r="B40" s="37"/>
      <c r="C40" s="38"/>
      <c r="D40" s="39"/>
      <c r="E40" s="38"/>
      <c r="F40" s="39"/>
      <c r="G40" s="38"/>
      <c r="H40" s="41">
        <f t="shared" si="3"/>
        <v>0</v>
      </c>
    </row>
    <row r="41">
      <c r="A41" s="36" t="s">
        <v>76</v>
      </c>
      <c r="B41" s="37"/>
      <c r="C41" s="38"/>
      <c r="D41" s="39"/>
      <c r="E41" s="38"/>
      <c r="F41" s="39"/>
      <c r="G41" s="38"/>
      <c r="H41" s="41">
        <f t="shared" si="3"/>
        <v>0</v>
      </c>
    </row>
    <row r="42">
      <c r="A42" s="33" t="s">
        <v>77</v>
      </c>
      <c r="B42" s="40">
        <v>450.0</v>
      </c>
      <c r="C42" s="42">
        <v>4.0</v>
      </c>
      <c r="D42" s="41">
        <f t="shared" ref="D42:D47" si="14">B42*C42</f>
        <v>1800</v>
      </c>
      <c r="E42" s="42">
        <v>4.0</v>
      </c>
      <c r="F42" s="41">
        <f t="shared" ref="F42:F47" si="15">B42*E42</f>
        <v>1800</v>
      </c>
      <c r="G42" s="42">
        <v>4.0</v>
      </c>
      <c r="H42" s="41">
        <f t="shared" si="3"/>
        <v>1800</v>
      </c>
    </row>
    <row r="43">
      <c r="A43" s="33" t="s">
        <v>78</v>
      </c>
      <c r="B43" s="40">
        <v>225.0</v>
      </c>
      <c r="C43" s="38"/>
      <c r="D43" s="41">
        <f t="shared" si="14"/>
        <v>0</v>
      </c>
      <c r="E43" s="38"/>
      <c r="F43" s="41">
        <f t="shared" si="15"/>
        <v>0</v>
      </c>
      <c r="G43" s="38"/>
      <c r="H43" s="41">
        <f t="shared" si="3"/>
        <v>0</v>
      </c>
    </row>
    <row r="44">
      <c r="A44" s="33" t="s">
        <v>79</v>
      </c>
      <c r="B44" s="40">
        <v>250.0</v>
      </c>
      <c r="C44" s="44"/>
      <c r="D44" s="41">
        <f t="shared" si="14"/>
        <v>0</v>
      </c>
      <c r="E44" s="38"/>
      <c r="F44" s="41">
        <f t="shared" si="15"/>
        <v>0</v>
      </c>
      <c r="G44" s="38"/>
      <c r="H44" s="41">
        <f t="shared" si="3"/>
        <v>0</v>
      </c>
    </row>
    <row r="45">
      <c r="A45" s="33" t="s">
        <v>80</v>
      </c>
      <c r="B45" s="40">
        <v>180.0</v>
      </c>
      <c r="C45" s="42">
        <v>4.0</v>
      </c>
      <c r="D45" s="41">
        <f t="shared" si="14"/>
        <v>720</v>
      </c>
      <c r="E45" s="42">
        <v>4.0</v>
      </c>
      <c r="F45" s="41">
        <f t="shared" si="15"/>
        <v>720</v>
      </c>
      <c r="G45" s="42">
        <v>4.0</v>
      </c>
      <c r="H45" s="41">
        <f t="shared" si="3"/>
        <v>720</v>
      </c>
    </row>
    <row r="46">
      <c r="A46" s="33" t="s">
        <v>81</v>
      </c>
      <c r="B46" s="40">
        <v>150.0</v>
      </c>
      <c r="C46" s="38"/>
      <c r="D46" s="41">
        <f t="shared" si="14"/>
        <v>0</v>
      </c>
      <c r="E46" s="38"/>
      <c r="F46" s="41">
        <f t="shared" si="15"/>
        <v>0</v>
      </c>
      <c r="G46" s="38"/>
      <c r="H46" s="41">
        <f t="shared" si="3"/>
        <v>0</v>
      </c>
    </row>
    <row r="47">
      <c r="A47" s="33" t="s">
        <v>82</v>
      </c>
      <c r="B47" s="40">
        <v>180.0</v>
      </c>
      <c r="C47" s="44"/>
      <c r="D47" s="41">
        <f t="shared" si="14"/>
        <v>0</v>
      </c>
      <c r="E47" s="38"/>
      <c r="F47" s="41">
        <f t="shared" si="15"/>
        <v>0</v>
      </c>
      <c r="G47" s="38"/>
      <c r="H47" s="41">
        <f t="shared" si="3"/>
        <v>0</v>
      </c>
    </row>
    <row r="48">
      <c r="A48" s="33"/>
      <c r="B48" s="37"/>
      <c r="C48" s="38"/>
      <c r="D48" s="39"/>
      <c r="E48" s="38"/>
      <c r="F48" s="39"/>
      <c r="G48" s="38"/>
      <c r="H48" s="41">
        <f t="shared" si="3"/>
        <v>0</v>
      </c>
    </row>
    <row r="49">
      <c r="A49" s="36" t="s">
        <v>83</v>
      </c>
      <c r="B49" s="37"/>
      <c r="C49" s="38"/>
      <c r="D49" s="39"/>
      <c r="E49" s="38"/>
      <c r="F49" s="39"/>
      <c r="G49" s="38"/>
      <c r="H49" s="41">
        <v>0.0</v>
      </c>
    </row>
    <row r="50">
      <c r="A50" s="51" t="s">
        <v>139</v>
      </c>
      <c r="B50" s="127" t="s">
        <v>140</v>
      </c>
      <c r="C50" s="38"/>
      <c r="D50" s="52">
        <v>20000.0</v>
      </c>
      <c r="E50" s="38"/>
      <c r="F50" s="39"/>
      <c r="G50" s="38"/>
      <c r="H50" s="41"/>
    </row>
    <row r="51">
      <c r="A51" s="51" t="s">
        <v>141</v>
      </c>
      <c r="B51" s="127"/>
      <c r="C51" s="38"/>
      <c r="D51" s="52">
        <v>35000.0</v>
      </c>
      <c r="E51" s="38"/>
      <c r="F51" s="39"/>
      <c r="G51" s="38"/>
      <c r="H51" s="41"/>
    </row>
    <row r="52">
      <c r="A52" s="51" t="s">
        <v>142</v>
      </c>
      <c r="B52" s="127"/>
      <c r="C52" s="38"/>
      <c r="D52" s="52"/>
      <c r="E52" s="38"/>
      <c r="F52" s="52">
        <v>5000.0</v>
      </c>
      <c r="G52" s="38"/>
      <c r="H52" s="128">
        <v>5000.0</v>
      </c>
    </row>
    <row r="53">
      <c r="A53" s="51" t="s">
        <v>143</v>
      </c>
      <c r="B53" s="127">
        <v>1250.0</v>
      </c>
      <c r="C53" s="42">
        <v>1.0</v>
      </c>
      <c r="D53" s="39">
        <f t="shared" ref="D53:D54" si="16">B53*C53</f>
        <v>1250</v>
      </c>
      <c r="E53" s="42">
        <v>4.0</v>
      </c>
      <c r="F53" s="39">
        <f t="shared" ref="F53:F54" si="17">B53*E53</f>
        <v>5000</v>
      </c>
      <c r="G53" s="42">
        <v>4.0</v>
      </c>
      <c r="H53" s="41">
        <f t="shared" ref="H53:H54" si="18">B53*G53</f>
        <v>5000</v>
      </c>
    </row>
    <row r="54">
      <c r="A54" s="51" t="s">
        <v>144</v>
      </c>
      <c r="B54" s="127">
        <v>1250.0</v>
      </c>
      <c r="C54" s="42">
        <v>1.0</v>
      </c>
      <c r="D54" s="39">
        <f t="shared" si="16"/>
        <v>1250</v>
      </c>
      <c r="E54" s="42">
        <v>4.0</v>
      </c>
      <c r="F54" s="39">
        <f t="shared" si="17"/>
        <v>5000</v>
      </c>
      <c r="G54" s="42">
        <v>4.0</v>
      </c>
      <c r="H54" s="41">
        <f t="shared" si="18"/>
        <v>5000</v>
      </c>
    </row>
    <row r="55">
      <c r="A55" s="33"/>
      <c r="B55" s="37"/>
      <c r="C55" s="38"/>
      <c r="D55" s="39"/>
      <c r="E55" s="38"/>
      <c r="F55" s="39"/>
      <c r="G55" s="33"/>
      <c r="H55" s="46"/>
    </row>
    <row r="56">
      <c r="A56" s="29" t="s">
        <v>85</v>
      </c>
      <c r="B56" s="37"/>
      <c r="C56" s="47">
        <f>SUM(C4:C55)</f>
        <v>18</v>
      </c>
      <c r="D56" s="48">
        <f>SUM(D3:D55)</f>
        <v>61620</v>
      </c>
      <c r="E56" s="47">
        <f>SUM(E4:E55)</f>
        <v>48</v>
      </c>
      <c r="F56" s="48">
        <f>SUM(F3:F55)</f>
        <v>23920</v>
      </c>
      <c r="G56" s="47">
        <f t="shared" ref="G56:H56" si="19">SUM(G4:G55)</f>
        <v>48</v>
      </c>
      <c r="H56" s="48">
        <f t="shared" si="19"/>
        <v>23920</v>
      </c>
    </row>
    <row r="58">
      <c r="A58" s="49" t="s">
        <v>88</v>
      </c>
      <c r="B58" s="50">
        <f>(D56+F56+H56)-D50-D51-D53-D54-F52-F53-F54-H52-H53-H54</f>
        <v>21960</v>
      </c>
    </row>
  </sheetData>
  <mergeCells count="3">
    <mergeCell ref="C1:D1"/>
    <mergeCell ref="E1:F1"/>
    <mergeCell ref="G1:H1"/>
  </mergeCells>
  <drawing r:id="rId1"/>
</worksheet>
</file>